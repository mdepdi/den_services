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drm\"/>
    </mc:Choice>
  </mc:AlternateContent>
  <xr:revisionPtr revIDLastSave="0" documentId="13_ncr:1_{6E23EA9D-17C2-43EF-A779-988AE8BB067F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Summary Ring" sheetId="1" r:id="rId1"/>
    <sheet name="Lampiran Site" sheetId="2" r:id="rId2"/>
    <sheet name="Lampiran Segment" sheetId="3" r:id="rId3"/>
  </sheets>
  <externalReferences>
    <externalReference r:id="rId4"/>
  </externalReferences>
  <definedNames>
    <definedName name="_xlnm._FilterDatabase" localSheetId="2" hidden="1">'Lampiran Segment'!$A$1:$U$78</definedName>
    <definedName name="_xlnm._FilterDatabase" localSheetId="1" hidden="1">'Lampiran Site'!$A$3:$T$80</definedName>
    <definedName name="_xlnm._FilterDatabase" localSheetId="0" hidden="1">'Summary Ring'!$B$2:$H$78</definedName>
  </definedNames>
  <calcPr calcId="191029"/>
</workbook>
</file>

<file path=xl/calcChain.xml><?xml version="1.0" encoding="utf-8"?>
<calcChain xmlns="http://schemas.openxmlformats.org/spreadsheetml/2006/main">
  <c r="T30" i="2" l="1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V2" i="3" l="1"/>
  <c r="U78" i="3"/>
  <c r="U77" i="3"/>
  <c r="U76" i="3"/>
  <c r="U75" i="3"/>
  <c r="U70" i="3"/>
  <c r="U58" i="3"/>
  <c r="U74" i="3"/>
  <c r="U73" i="3"/>
  <c r="U71" i="3"/>
  <c r="U66" i="3"/>
  <c r="U65" i="3"/>
  <c r="U63" i="3"/>
  <c r="U62" i="3"/>
  <c r="U60" i="3"/>
  <c r="U59" i="3"/>
  <c r="U57" i="3"/>
  <c r="U56" i="3"/>
  <c r="U55" i="3"/>
  <c r="U53" i="3"/>
  <c r="U52" i="3"/>
  <c r="U51" i="3"/>
  <c r="U49" i="3"/>
  <c r="U45" i="3"/>
  <c r="U44" i="3"/>
  <c r="U43" i="3"/>
  <c r="U41" i="3"/>
  <c r="U40" i="3"/>
  <c r="U37" i="3"/>
  <c r="U35" i="3"/>
  <c r="U33" i="3"/>
  <c r="U32" i="3"/>
  <c r="U31" i="3"/>
  <c r="U30" i="3"/>
  <c r="U29" i="3"/>
  <c r="U27" i="3"/>
  <c r="U23" i="3"/>
  <c r="U21" i="3"/>
  <c r="U16" i="3"/>
  <c r="U14" i="3"/>
  <c r="U10" i="3"/>
  <c r="U9" i="3"/>
  <c r="U8" i="3"/>
  <c r="U5" i="3"/>
  <c r="U4" i="3"/>
  <c r="U2" i="3"/>
  <c r="U72" i="3"/>
  <c r="U69" i="3"/>
  <c r="U68" i="3"/>
  <c r="U67" i="3"/>
  <c r="U64" i="3"/>
  <c r="U61" i="3"/>
  <c r="U54" i="3"/>
  <c r="U50" i="3"/>
  <c r="U48" i="3"/>
  <c r="U47" i="3"/>
  <c r="U46" i="3"/>
  <c r="U42" i="3"/>
  <c r="U39" i="3"/>
  <c r="U38" i="3"/>
  <c r="U36" i="3"/>
  <c r="U34" i="3"/>
  <c r="U28" i="3"/>
  <c r="U26" i="3"/>
  <c r="U25" i="3"/>
  <c r="U24" i="3"/>
  <c r="U22" i="3"/>
  <c r="U20" i="3"/>
  <c r="U19" i="3"/>
  <c r="U18" i="3"/>
  <c r="U17" i="3"/>
  <c r="U15" i="3"/>
  <c r="U13" i="3"/>
  <c r="U12" i="3"/>
  <c r="U11" i="3"/>
  <c r="U7" i="3"/>
  <c r="U6" i="3"/>
  <c r="U3" i="3"/>
  <c r="S80" i="2" l="1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G74" i="1" l="1"/>
  <c r="G75" i="1"/>
  <c r="G76" i="1"/>
  <c r="G77" i="1"/>
  <c r="E74" i="1"/>
  <c r="E75" i="1"/>
  <c r="E76" i="1"/>
  <c r="E77" i="1"/>
  <c r="C74" i="1"/>
  <c r="C75" i="1"/>
  <c r="C76" i="1"/>
  <c r="C77" i="1"/>
  <c r="H75" i="1" l="1"/>
  <c r="H74" i="1"/>
  <c r="H77" i="1"/>
  <c r="H76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H72" i="1" l="1"/>
  <c r="H27" i="1"/>
  <c r="H32" i="1"/>
  <c r="H37" i="1"/>
  <c r="H42" i="1"/>
  <c r="H50" i="1"/>
  <c r="H56" i="1"/>
  <c r="H64" i="1"/>
  <c r="H49" i="1"/>
  <c r="H63" i="1"/>
  <c r="H55" i="1"/>
  <c r="H71" i="1"/>
  <c r="G78" i="1"/>
  <c r="E78" i="1"/>
  <c r="H41" i="1"/>
  <c r="H26" i="1"/>
  <c r="H70" i="1"/>
  <c r="H20" i="1"/>
  <c r="H28" i="1"/>
  <c r="H33" i="1"/>
  <c r="H65" i="1"/>
  <c r="H9" i="1"/>
  <c r="H17" i="1"/>
  <c r="H21" i="1"/>
  <c r="H29" i="1"/>
  <c r="H34" i="1"/>
  <c r="H44" i="1"/>
  <c r="H58" i="1"/>
  <c r="H66" i="1"/>
  <c r="H43" i="1"/>
  <c r="H51" i="1"/>
  <c r="H57" i="1"/>
  <c r="H73" i="1"/>
  <c r="H7" i="1"/>
  <c r="H15" i="1"/>
  <c r="H12" i="1"/>
  <c r="H24" i="1"/>
  <c r="H30" i="1"/>
  <c r="H36" i="1"/>
  <c r="H39" i="1"/>
  <c r="H47" i="1"/>
  <c r="H53" i="1"/>
  <c r="H61" i="1"/>
  <c r="H69" i="1"/>
  <c r="H4" i="1"/>
  <c r="H35" i="1"/>
  <c r="H46" i="1"/>
  <c r="H68" i="1"/>
  <c r="H16" i="1"/>
  <c r="H10" i="1"/>
  <c r="H52" i="1"/>
  <c r="H59" i="1"/>
  <c r="H18" i="1"/>
  <c r="H22" i="1"/>
  <c r="H45" i="1"/>
  <c r="H67" i="1"/>
  <c r="H11" i="1"/>
  <c r="H23" i="1"/>
  <c r="H38" i="1"/>
  <c r="H60" i="1"/>
  <c r="H62" i="1"/>
  <c r="H6" i="1"/>
  <c r="H13" i="1"/>
  <c r="H25" i="1"/>
  <c r="H31" i="1"/>
  <c r="H40" i="1"/>
  <c r="H48" i="1"/>
  <c r="H54" i="1"/>
  <c r="H14" i="1"/>
  <c r="H8" i="1"/>
  <c r="H3" i="1"/>
  <c r="H5" i="1"/>
  <c r="H19" i="1"/>
  <c r="H78" i="1" l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<sst xmlns="http://schemas.openxmlformats.org/spreadsheetml/2006/main" count="1919" uniqueCount="662">
  <si>
    <t>BANTEN</t>
  </si>
  <si>
    <t>DAERAH ISTIMEWA YOGYAKARTA</t>
  </si>
  <si>
    <t>JAWA BARAT</t>
  </si>
  <si>
    <t>JAWA TENGAH</t>
  </si>
  <si>
    <t>JAWA TIMUR</t>
  </si>
  <si>
    <t>Ring List After :</t>
  </si>
  <si>
    <t>No</t>
  </si>
  <si>
    <t>Prov</t>
  </si>
  <si>
    <t>Ring name</t>
  </si>
  <si>
    <t>Total Sites</t>
  </si>
  <si>
    <t>Type</t>
  </si>
  <si>
    <t>Total Distance(m)</t>
  </si>
  <si>
    <t>AVG / Site</t>
  </si>
  <si>
    <t>Star</t>
  </si>
  <si>
    <t>TOTAL</t>
  </si>
  <si>
    <t xml:space="preserve">Site List DRM : </t>
  </si>
  <si>
    <t>Site_ID</t>
  </si>
  <si>
    <t>Site Name</t>
  </si>
  <si>
    <t>Site ID Surge</t>
  </si>
  <si>
    <t>Province</t>
  </si>
  <si>
    <t>City</t>
  </si>
  <si>
    <t>Kecamatan</t>
  </si>
  <si>
    <t>Kelurahan</t>
  </si>
  <si>
    <t>Lat</t>
  </si>
  <si>
    <t>Long</t>
  </si>
  <si>
    <t>Tower Ownership</t>
  </si>
  <si>
    <t xml:space="preserve"> Field Type </t>
  </si>
  <si>
    <t>POP Interconnection</t>
  </si>
  <si>
    <t>Location POP</t>
  </si>
  <si>
    <t>Ketinggian Antenna</t>
  </si>
  <si>
    <t>Jumlah Sektor</t>
  </si>
  <si>
    <t>FO Type</t>
  </si>
  <si>
    <t>KAB. LEBAK</t>
  </si>
  <si>
    <t>RANGKASBITUNG</t>
  </si>
  <si>
    <t>Rangkasbitung</t>
  </si>
  <si>
    <t>KAI</t>
  </si>
  <si>
    <t>TBG</t>
  </si>
  <si>
    <t>KOTA CILEGON</t>
  </si>
  <si>
    <t>RT</t>
  </si>
  <si>
    <t>JOMBANG</t>
  </si>
  <si>
    <t>JOMBANG WETAN</t>
  </si>
  <si>
    <t>Cilegon</t>
  </si>
  <si>
    <t>KOTA SERANG</t>
  </si>
  <si>
    <t>SERANG</t>
  </si>
  <si>
    <t>CIPARE</t>
  </si>
  <si>
    <t>Serang</t>
  </si>
  <si>
    <t>KOTA BARU</t>
  </si>
  <si>
    <t>CIMUNCANG</t>
  </si>
  <si>
    <t>KAB. BANTUL</t>
  </si>
  <si>
    <t>Lempuyangan</t>
  </si>
  <si>
    <t>KAB. SLEMAN</t>
  </si>
  <si>
    <t>KAB. BOGOR</t>
  </si>
  <si>
    <t>BOJONG GEDE</t>
  </si>
  <si>
    <t>KEDUNGWARINGIN</t>
  </si>
  <si>
    <t>PABUARAN</t>
  </si>
  <si>
    <t>SUKARAJA</t>
  </si>
  <si>
    <t>CILEBUT BARAT</t>
  </si>
  <si>
    <t>Cilebut</t>
  </si>
  <si>
    <t>Bojong Gede</t>
  </si>
  <si>
    <t>KAB. BEKASI</t>
  </si>
  <si>
    <t>TAMBUN SELATAN</t>
  </si>
  <si>
    <t>Tambun</t>
  </si>
  <si>
    <t>KAB. GARUT</t>
  </si>
  <si>
    <t>Garut</t>
  </si>
  <si>
    <t>GARUT KOTA</t>
  </si>
  <si>
    <t>KAB. BANDUNG BARAT</t>
  </si>
  <si>
    <t>NGAMPRAH</t>
  </si>
  <si>
    <t>Padalarang</t>
  </si>
  <si>
    <t>KAB. PURWAKARTA</t>
  </si>
  <si>
    <t>PURWAKARTA</t>
  </si>
  <si>
    <t>Purwakarta</t>
  </si>
  <si>
    <t>SUKATANI</t>
  </si>
  <si>
    <t>KOTA BANDUNG</t>
  </si>
  <si>
    <t>Gedebage</t>
  </si>
  <si>
    <t>KAB. BANDUNG</t>
  </si>
  <si>
    <t>RANCAEKEK</t>
  </si>
  <si>
    <t>Haurpugur</t>
  </si>
  <si>
    <t>CICALENGKA</t>
  </si>
  <si>
    <t>Cicalengka</t>
  </si>
  <si>
    <t>Kiaracondong</t>
  </si>
  <si>
    <t>KIARACONDONG</t>
  </si>
  <si>
    <t>KOTA BANJAR</t>
  </si>
  <si>
    <t>PATARUMAN</t>
  </si>
  <si>
    <t>HEGARSARI</t>
  </si>
  <si>
    <t>Banjar</t>
  </si>
  <si>
    <t>BANJAR</t>
  </si>
  <si>
    <t>KOTA CIREBON</t>
  </si>
  <si>
    <t>Cirebon Prujakan</t>
  </si>
  <si>
    <t>PEKALIPAN</t>
  </si>
  <si>
    <t>KAB. CILACAP</t>
  </si>
  <si>
    <t>GEBANG</t>
  </si>
  <si>
    <t>KOTA SURAKARTA</t>
  </si>
  <si>
    <t>Purwosari</t>
  </si>
  <si>
    <t>LAWEYAN</t>
  </si>
  <si>
    <t>BLIMBING</t>
  </si>
  <si>
    <t>JEBRES</t>
  </si>
  <si>
    <t>MOJO</t>
  </si>
  <si>
    <t>Solo Kota</t>
  </si>
  <si>
    <t>KOTA TEGAL</t>
  </si>
  <si>
    <t>Tegal</t>
  </si>
  <si>
    <t>TEGAL BARAT</t>
  </si>
  <si>
    <t>KAB. SIDOARJO</t>
  </si>
  <si>
    <t>KAB. JOMBANG</t>
  </si>
  <si>
    <t>JOMBATAN</t>
  </si>
  <si>
    <t>Jombang</t>
  </si>
  <si>
    <t>KAB. JEMBER</t>
  </si>
  <si>
    <t>KALIWATES</t>
  </si>
  <si>
    <t>PATRANG</t>
  </si>
  <si>
    <t>Jember</t>
  </si>
  <si>
    <t>SUMBERSARI</t>
  </si>
  <si>
    <t>KAB. KEDIRI</t>
  </si>
  <si>
    <t>KOTA MALANG</t>
  </si>
  <si>
    <t>Blimbing</t>
  </si>
  <si>
    <t>KAB. MALANG</t>
  </si>
  <si>
    <t>SINGOSARI</t>
  </si>
  <si>
    <t>Singosari</t>
  </si>
  <si>
    <t>Malang Kota Lama</t>
  </si>
  <si>
    <t>JETIS</t>
  </si>
  <si>
    <t>BUDURAN</t>
  </si>
  <si>
    <t>KAB. NGANJUK</t>
  </si>
  <si>
    <t>KAB. PASURUAN</t>
  </si>
  <si>
    <t>PURWOSARI</t>
  </si>
  <si>
    <t>Sengon</t>
  </si>
  <si>
    <t>WARU</t>
  </si>
  <si>
    <t>Waru</t>
  </si>
  <si>
    <t>Sidoarjo</t>
  </si>
  <si>
    <t>SIDOARJO</t>
  </si>
  <si>
    <t>Pagerwojo</t>
  </si>
  <si>
    <t>PAGERWOJO</t>
  </si>
  <si>
    <t>TUGU</t>
  </si>
  <si>
    <t>KLOJEN</t>
  </si>
  <si>
    <t>KOTA SURABAYA</t>
  </si>
  <si>
    <t>Surabaya Gubeng</t>
  </si>
  <si>
    <t>MAJA</t>
  </si>
  <si>
    <t>Maja</t>
  </si>
  <si>
    <t>MEKARSARI</t>
  </si>
  <si>
    <t>KAB. SUBANG</t>
  </si>
  <si>
    <t>Pabuaran</t>
  </si>
  <si>
    <t>MAOS</t>
  </si>
  <si>
    <t>Kasugihan</t>
  </si>
  <si>
    <t>KEPATIHAN</t>
  </si>
  <si>
    <t>KEDUNGREJO</t>
  </si>
  <si>
    <t>GEDANGAN</t>
  </si>
  <si>
    <t>SAWOTRATAP</t>
  </si>
  <si>
    <t>NO</t>
  </si>
  <si>
    <t>Segment</t>
  </si>
  <si>
    <t>NE</t>
  </si>
  <si>
    <t>NE Long</t>
  </si>
  <si>
    <t>NE Lat</t>
  </si>
  <si>
    <t>FE</t>
  </si>
  <si>
    <t>FE Long</t>
  </si>
  <si>
    <t>FE Lat</t>
  </si>
  <si>
    <t>ring_name</t>
  </si>
  <si>
    <t>route_type</t>
  </si>
  <si>
    <t>length</t>
  </si>
  <si>
    <t>FO Hub 1</t>
  </si>
  <si>
    <t>FO Hub 2</t>
  </si>
  <si>
    <t>POP Type</t>
  </si>
  <si>
    <t>status site a</t>
  </si>
  <si>
    <t>status site b</t>
  </si>
  <si>
    <t>RFS Plan</t>
  </si>
  <si>
    <t xml:space="preserve">Kota Kab </t>
  </si>
  <si>
    <t>Vendor</t>
  </si>
  <si>
    <t>Surabaya Pasar Turi</t>
  </si>
  <si>
    <t>Cilegon;GTI11B012</t>
  </si>
  <si>
    <t>GTI12B046;Serang</t>
  </si>
  <si>
    <t>Serang;1321162007</t>
  </si>
  <si>
    <t>Serang;130176110</t>
  </si>
  <si>
    <t>130218104;Maja</t>
  </si>
  <si>
    <t>Citeras;1323011003</t>
  </si>
  <si>
    <t>Rawa Buntu;GTI13B023</t>
  </si>
  <si>
    <t>Sudimara;1303981004</t>
  </si>
  <si>
    <t>131098126;Pondok Ranji</t>
  </si>
  <si>
    <t>121015104;Cirebon Prujakan</t>
  </si>
  <si>
    <t>122492110;Pabuaran</t>
  </si>
  <si>
    <t>Banjar;122861109</t>
  </si>
  <si>
    <t>120851104;Banjar</t>
  </si>
  <si>
    <t>Leuwigoong;121075104</t>
  </si>
  <si>
    <t>120465109;Garut</t>
  </si>
  <si>
    <t>122876109;Garut</t>
  </si>
  <si>
    <t>121272104;Cicalengka</t>
  </si>
  <si>
    <t>121327104;Haurpugur</t>
  </si>
  <si>
    <t>Rancaekek;124714126</t>
  </si>
  <si>
    <t>125871101;Rancaekek</t>
  </si>
  <si>
    <t>Kiaracondong;125841103</t>
  </si>
  <si>
    <t>GTI25JBR023;Gedebage</t>
  </si>
  <si>
    <t>122376109;Padalarang</t>
  </si>
  <si>
    <t>GTI13JB020;Purwakarta</t>
  </si>
  <si>
    <t>123556109;GTI12JB015</t>
  </si>
  <si>
    <t>125966123;Cilebut</t>
  </si>
  <si>
    <t>Bojong Gede;120288109</t>
  </si>
  <si>
    <t>Surabaya Pasar Turi;T000043</t>
  </si>
  <si>
    <t>Surabaya Gubeng;163135126</t>
  </si>
  <si>
    <t>Surabaya Gubeng;T000041</t>
  </si>
  <si>
    <t>Margorejo;T000512</t>
  </si>
  <si>
    <t>1647052007;Sawotratap</t>
  </si>
  <si>
    <t>Waru;161876109</t>
  </si>
  <si>
    <t>161420110;Buduran</t>
  </si>
  <si>
    <t>Pagerwojo;163181126</t>
  </si>
  <si>
    <t>1649262007;Sidoarjo</t>
  </si>
  <si>
    <t>1647062007;Gedangan</t>
  </si>
  <si>
    <t>Mojokerto;163157126</t>
  </si>
  <si>
    <t>Mojokerto;1647952007</t>
  </si>
  <si>
    <t>163317126;Jombang</t>
  </si>
  <si>
    <t>Jombang;160217104</t>
  </si>
  <si>
    <t>Kertosono;TBG03_EJ179</t>
  </si>
  <si>
    <t>Susuhan;1628011001</t>
  </si>
  <si>
    <t>161395110;Malang Kota Lama</t>
  </si>
  <si>
    <t>1650662001;Blimbing</t>
  </si>
  <si>
    <t>163870110;Singosari</t>
  </si>
  <si>
    <t>Sengon;1649892007</t>
  </si>
  <si>
    <t>1654591001;Kaliwates</t>
  </si>
  <si>
    <t>Jember;161332104</t>
  </si>
  <si>
    <t>Kaliwates;TBG03_EJ125</t>
  </si>
  <si>
    <t>Lempuyangan;150235110</t>
  </si>
  <si>
    <t>1510341001;LEMPUYANGAN</t>
  </si>
  <si>
    <t>Tugu Jogja;150123109</t>
  </si>
  <si>
    <t>Rewulu;1509741023</t>
  </si>
  <si>
    <t>Rewulu;150659103</t>
  </si>
  <si>
    <t>Semarang Poncol;142463126</t>
  </si>
  <si>
    <t>Kasugihan;1436911023</t>
  </si>
  <si>
    <t>1440632003;Jerakah</t>
  </si>
  <si>
    <t>Purwosari;1440762003</t>
  </si>
  <si>
    <t>Semarang Poncol;142566126</t>
  </si>
  <si>
    <t>TBG03_CJ007;Semarang Tawang</t>
  </si>
  <si>
    <t>Semarang Tawang;1446221023</t>
  </si>
  <si>
    <t>Solo Kota;1442382001</t>
  </si>
  <si>
    <t>111172121;Jayakarta</t>
  </si>
  <si>
    <t>1133122004;Jayakarta</t>
  </si>
  <si>
    <t>1133112004;Mangga Besar</t>
  </si>
  <si>
    <t>111545109;Palmerah</t>
  </si>
  <si>
    <t>Kalideres;110157102</t>
  </si>
  <si>
    <t>111211121;Kebayoran</t>
  </si>
  <si>
    <t>Klender;111001109</t>
  </si>
  <si>
    <t>Duren Kalibata;111150121</t>
  </si>
  <si>
    <t xml:space="preserve"> Krenceng - Cilegon 1</t>
  </si>
  <si>
    <t xml:space="preserve"> Karangantu - Serang 1</t>
  </si>
  <si>
    <t xml:space="preserve"> Karangantu - Serang 2</t>
  </si>
  <si>
    <t xml:space="preserve"> Serang - Walantaka 1</t>
  </si>
  <si>
    <t xml:space="preserve"> Rangkasbitung - Citeras</t>
  </si>
  <si>
    <t xml:space="preserve"> Citeras - Maja 1</t>
  </si>
  <si>
    <t xml:space="preserve"> Citeras - Maja 2</t>
  </si>
  <si>
    <t xml:space="preserve"> Rawa Buntu - Sudimara 4</t>
  </si>
  <si>
    <t xml:space="preserve"> Sudimara - Jurangmangu 1</t>
  </si>
  <si>
    <t xml:space="preserve"> Jurangmangu - Pondok Ranji 1</t>
  </si>
  <si>
    <t>Cirebon - Cirebon Perujakan 2</t>
  </si>
  <si>
    <t>Cikampek - Pabuaran 1</t>
  </si>
  <si>
    <t>Banjar - Langen 1</t>
  </si>
  <si>
    <t>Karangpucung - banjar 2</t>
  </si>
  <si>
    <t>Leuwigoong - Cibatu 1</t>
  </si>
  <si>
    <t>Wanaraja - Garut 3</t>
  </si>
  <si>
    <t>Wanaraja - Garut 1</t>
  </si>
  <si>
    <t>Haurpugur - Cicalengka 2</t>
  </si>
  <si>
    <t>Rancaekek - Haurpugur 2</t>
  </si>
  <si>
    <t>Rancaekek - Haurpugur 1</t>
  </si>
  <si>
    <t>Cimekar - Rancaekek 1</t>
  </si>
  <si>
    <t>Kiaracondong - Gedebage 1</t>
  </si>
  <si>
    <t>Tagogapu - padalarang 1</t>
  </si>
  <si>
    <t>Sadang - Purwakarta 3</t>
  </si>
  <si>
    <t>Tambun - Cibitung 2</t>
  </si>
  <si>
    <t>Bojong Gede - Cilebut 1</t>
  </si>
  <si>
    <t>Bojong Gede - Cibinong</t>
  </si>
  <si>
    <t>SURABAYA PASAR TURI - SURABAYA KOTA 3</t>
  </si>
  <si>
    <t>SURABAYA GUBENG - NGAGEL 2</t>
  </si>
  <si>
    <t>SURABAYA GUBENG - NGAGEL 3</t>
  </si>
  <si>
    <t>MARGOREJO - KERTOMENANGGAL 1</t>
  </si>
  <si>
    <t>WARU - SAWOTRATAP 2</t>
  </si>
  <si>
    <t>WARU - SAWOTRATAP 3</t>
  </si>
  <si>
    <t>GEDANGAN - BUDURAN 3</t>
  </si>
  <si>
    <t>PAGERWOJO - SIDOARJO 2</t>
  </si>
  <si>
    <t>SEPANJANG - GEDANGAN 1</t>
  </si>
  <si>
    <t>MOJOKERTO - CURAHMALANG 1</t>
  </si>
  <si>
    <t>MOJOKERTO - SUMOBITO 1</t>
  </si>
  <si>
    <t>PETERONGAN - JOMBANG 3</t>
  </si>
  <si>
    <t>PETERONGAN - JOMBANG 4</t>
  </si>
  <si>
    <t>KERTOSONO - BARON 2</t>
  </si>
  <si>
    <t>MINGGIRAN - SUSUHAN 2</t>
  </si>
  <si>
    <t>PAKISAJI - MALANG KOTA LAMA 1</t>
  </si>
  <si>
    <t>MALANG - BLIMBING 1</t>
  </si>
  <si>
    <t>BLIMBING - SINGOSARI 1</t>
  </si>
  <si>
    <t>SENGON - SUKOREJO 2</t>
  </si>
  <si>
    <t>MANGLI - KALIWATES 1</t>
  </si>
  <si>
    <t>JEMBER - ARJASA 1</t>
  </si>
  <si>
    <t>KALIWATES - JEMBER 3</t>
  </si>
  <si>
    <t xml:space="preserve"> LEMPUYANGAN - MAGUWO 1</t>
  </si>
  <si>
    <t xml:space="preserve"> TUGU JOGJA - LEMPUYANGAN 4</t>
  </si>
  <si>
    <t xml:space="preserve"> TUGU JOGJA - LEMPUYANGAN 3</t>
  </si>
  <si>
    <t xml:space="preserve"> REWULU - PATUKAN 3</t>
  </si>
  <si>
    <t xml:space="preserve"> REWULU - PATUKAN 1</t>
  </si>
  <si>
    <t>Brebes - Tegal 1</t>
  </si>
  <si>
    <t>Jerakah - Semarang Poncol 2</t>
  </si>
  <si>
    <t>Kasugihan - Maos 1</t>
  </si>
  <si>
    <t>Mangkang - Jerakah 1</t>
  </si>
  <si>
    <t>Purwosari - Solo Kota 1</t>
  </si>
  <si>
    <t>Semarang Poncol - Semarang Tawang 1</t>
  </si>
  <si>
    <t>Semarang Poncol - Semarang Tawang 3</t>
  </si>
  <si>
    <t>Semarang Tawang - Alastua 1</t>
  </si>
  <si>
    <t>Solo Kota - Palur 1</t>
  </si>
  <si>
    <t>Angke - Jayakarta A</t>
  </si>
  <si>
    <t>Angke - Jayakarta B</t>
  </si>
  <si>
    <t>Duri - Mangga Besar</t>
  </si>
  <si>
    <t>Tanah Abang - Palmerah</t>
  </si>
  <si>
    <t>Kalideres - Rawabuaya A</t>
  </si>
  <si>
    <t>Kebayoran - Pondok Ranji</t>
  </si>
  <si>
    <t>Gang Sentiong - Klender</t>
  </si>
  <si>
    <t>Kebayoran - Duren Kalibata</t>
  </si>
  <si>
    <t>GTI11B012</t>
  </si>
  <si>
    <t>GTI12B046</t>
  </si>
  <si>
    <t>T000365</t>
  </si>
  <si>
    <t>Citeras</t>
  </si>
  <si>
    <t>Rawa Buntu</t>
  </si>
  <si>
    <t>GTI13B023</t>
  </si>
  <si>
    <t>Sudimara</t>
  </si>
  <si>
    <t>Pondok Ranji</t>
  </si>
  <si>
    <t>Leuwigoong</t>
  </si>
  <si>
    <t>Rancaekek</t>
  </si>
  <si>
    <t>GTI25JBR023</t>
  </si>
  <si>
    <t>GTI13JB020</t>
  </si>
  <si>
    <t>GTI12JB015</t>
  </si>
  <si>
    <t>T000043</t>
  </si>
  <si>
    <t>T000041</t>
  </si>
  <si>
    <t>Margorejo</t>
  </si>
  <si>
    <t>T000512</t>
  </si>
  <si>
    <t>Sawotratap</t>
  </si>
  <si>
    <t>Buduran</t>
  </si>
  <si>
    <t>Gedangan</t>
  </si>
  <si>
    <t>Mojokerto</t>
  </si>
  <si>
    <t>Kertosono</t>
  </si>
  <si>
    <t>TBG03_EJ179</t>
  </si>
  <si>
    <t>Susuhan</t>
  </si>
  <si>
    <t>Kaliwates</t>
  </si>
  <si>
    <t>TBG03_EJ125</t>
  </si>
  <si>
    <t>LEMPUYANGAN</t>
  </si>
  <si>
    <t>Tugu Jogja</t>
  </si>
  <si>
    <t>Rewulu</t>
  </si>
  <si>
    <t>Semarang Poncol</t>
  </si>
  <si>
    <t>Jerakah</t>
  </si>
  <si>
    <t>Semarang Tawang</t>
  </si>
  <si>
    <t>TBG03_CJ007</t>
  </si>
  <si>
    <t>Jayakarta</t>
  </si>
  <si>
    <t>Mangga Besar</t>
  </si>
  <si>
    <t>Palmerah</t>
  </si>
  <si>
    <t>Klender</t>
  </si>
  <si>
    <t>Kalideres</t>
  </si>
  <si>
    <t>Kebayoran</t>
  </si>
  <si>
    <t>Duren Kalibata</t>
  </si>
  <si>
    <t>T000365;Rangkasbitung;</t>
  </si>
  <si>
    <t>Provinsi</t>
  </si>
  <si>
    <t>Banten</t>
  </si>
  <si>
    <t>Jawa Timur</t>
  </si>
  <si>
    <t>Daerah Istimewa Yogyakarta</t>
  </si>
  <si>
    <t>DKI JAKARTA</t>
  </si>
  <si>
    <t>KAB. SERANG</t>
  </si>
  <si>
    <t>KOTA TANGERANG SELATAN</t>
  </si>
  <si>
    <t>KOTA YOGYAKARTA</t>
  </si>
  <si>
    <t>KOTA SEMARANG</t>
  </si>
  <si>
    <t>KOTA ADM. JAKARTA BARAT</t>
  </si>
  <si>
    <t>KOTA ADM. JAKARTA PUSAT</t>
  </si>
  <si>
    <t>KOTA ADM. JAKARTA TIMUR</t>
  </si>
  <si>
    <t>KOTA ADM. JAKARTA SELATAN</t>
  </si>
  <si>
    <t>KOTA MOJOKERTO</t>
  </si>
  <si>
    <t>Perkotaan</t>
  </si>
  <si>
    <t>GIHON</t>
  </si>
  <si>
    <t>GREEN FIELD</t>
  </si>
  <si>
    <t>CITERAS</t>
  </si>
  <si>
    <t>MCP PONDOK BETUNG 7</t>
  </si>
  <si>
    <t>PONDOK AREN</t>
  </si>
  <si>
    <t>PARUJAKAN</t>
  </si>
  <si>
    <t>PABUARAN BARAT</t>
  </si>
  <si>
    <t>SMP2TRNGKDL-SUCIKALER</t>
  </si>
  <si>
    <t>JL TELADAN GARUT</t>
  </si>
  <si>
    <t>ROOF TOP</t>
  </si>
  <si>
    <t>HAURPUGUR</t>
  </si>
  <si>
    <t>BDGN-218-WBBMC-SITE_7801 - RELOC</t>
  </si>
  <si>
    <t>CINAMBO</t>
  </si>
  <si>
    <t>NGAMPRAH-BCAPDLARANG</t>
  </si>
  <si>
    <t>A Yani Purwamekar</t>
  </si>
  <si>
    <t>SUKARAJA CILEBUT</t>
  </si>
  <si>
    <t>IBS MAKRO PEPELEGI</t>
  </si>
  <si>
    <t>GADING FAJAR</t>
  </si>
  <si>
    <t>IBS SUN CITY</t>
  </si>
  <si>
    <t>IBS KETAJEN</t>
  </si>
  <si>
    <t>JOMBATAN 2</t>
  </si>
  <si>
    <t>3G-BENTOEL OFFICE</t>
  </si>
  <si>
    <t>IBS MLG_INFILL7</t>
  </si>
  <si>
    <t>KARANGLO - RELOC</t>
  </si>
  <si>
    <t>TEGAL GEDE 3 - RELOC</t>
  </si>
  <si>
    <t>GRAPHARI YOGYA RELOK</t>
  </si>
  <si>
    <t>GONDOKUSUMAN</t>
  </si>
  <si>
    <t>IBS TUGU REJO</t>
  </si>
  <si>
    <t>BANDAR HARJO</t>
  </si>
  <si>
    <t>SEMARANG UTARA</t>
  </si>
  <si>
    <t>GATEP SAWAH MC-T-GF</t>
  </si>
  <si>
    <t>SAWAH BESAR</t>
  </si>
  <si>
    <t>IBS LOKASARI PLAZA</t>
  </si>
  <si>
    <t>TAMAN SARI</t>
  </si>
  <si>
    <t>IBS RUMAH KOST/CV TAMAN SARI</t>
  </si>
  <si>
    <t>BATIK HAJADI</t>
  </si>
  <si>
    <t>TANAH ABANG</t>
  </si>
  <si>
    <t>JATINEGARA</t>
  </si>
  <si>
    <t>KEBAYORAN LAMA</t>
  </si>
  <si>
    <t>PENGHULU LAMA MC-T-GF</t>
  </si>
  <si>
    <t>Station Cilegon</t>
  </si>
  <si>
    <t>IBS CIMUNCANG SERANG</t>
  </si>
  <si>
    <t>3G ABDUL HADI PANDEGLANG</t>
  </si>
  <si>
    <t>CIKANDE_CEMPLANG</t>
  </si>
  <si>
    <t>JAWILAN</t>
  </si>
  <si>
    <t>Taman Tanjung</t>
  </si>
  <si>
    <t>SERPONG</t>
  </si>
  <si>
    <t>SUDIMARA - RELOC</t>
  </si>
  <si>
    <t>CIPUTAT</t>
  </si>
  <si>
    <t>BANJARKOTA-EGASARI</t>
  </si>
  <si>
    <t>LEUWIGOONG</t>
  </si>
  <si>
    <t>RANCAEKEKKULON-BABAKANASTRA</t>
  </si>
  <si>
    <t>KIARACONDONG_BABAKANSARI</t>
  </si>
  <si>
    <t>Kalibaru Setiadarma</t>
  </si>
  <si>
    <t>BOJONG DEPOK BARU</t>
  </si>
  <si>
    <t>PASAR TURI</t>
  </si>
  <si>
    <t>BUBUTAN</t>
  </si>
  <si>
    <t>UNAIR DHARMAWANGSA 2</t>
  </si>
  <si>
    <t>GUBENG</t>
  </si>
  <si>
    <t>GUBENG MUSTOPO</t>
  </si>
  <si>
    <t>MARHOREJO</t>
  </si>
  <si>
    <t>WONOCOLO</t>
  </si>
  <si>
    <t>MAHARDIKAWARU</t>
  </si>
  <si>
    <t>PAGERWOJO-SUNGKONO</t>
  </si>
  <si>
    <t>BANJARAGUNG 3</t>
  </si>
  <si>
    <t>KRANGGAN</t>
  </si>
  <si>
    <t>IBS MERI</t>
  </si>
  <si>
    <t>KERTOSONO</t>
  </si>
  <si>
    <t>GAMPENGREJOSAMBIRESIK1</t>
  </si>
  <si>
    <t>GAMPENGREJO</t>
  </si>
  <si>
    <t>IBS SENGON</t>
  </si>
  <si>
    <t>TEGALGEDE_TSEL</t>
  </si>
  <si>
    <t>JEMBER1</t>
  </si>
  <si>
    <t>3G_MANDALA KRIDA RELOCATION</t>
  </si>
  <si>
    <t>BUMIJO TBG</t>
  </si>
  <si>
    <t>SLEMAN GAMPING</t>
  </si>
  <si>
    <t>GODEAN</t>
  </si>
  <si>
    <t>BALECATUR GAMPING</t>
  </si>
  <si>
    <t>SEDAYU</t>
  </si>
  <si>
    <t>BULUSTALAN 1</t>
  </si>
  <si>
    <t>SEMARANG SELATAN</t>
  </si>
  <si>
    <t>MAOS CILACAP</t>
  </si>
  <si>
    <t>IBS LAWEYAN</t>
  </si>
  <si>
    <t>SMAN 03</t>
  </si>
  <si>
    <t>SEMARANG TENGAH</t>
  </si>
  <si>
    <t>SEMARANG SEMARANG UTARA</t>
  </si>
  <si>
    <t>IBS SOLO EAST</t>
  </si>
  <si>
    <t>PTSEMANANGRAFIKA</t>
  </si>
  <si>
    <t>KALIDERES</t>
  </si>
  <si>
    <t>CAKUNG</t>
  </si>
  <si>
    <t>TANAH KOJA 1</t>
  </si>
  <si>
    <t>RAJAWALI BARAT MC-T-GF</t>
  </si>
  <si>
    <t>PANCORAN</t>
  </si>
  <si>
    <t>PONDOK BETUNG</t>
  </si>
  <si>
    <t>PEKALANGAN</t>
  </si>
  <si>
    <t>SUKAMENTRI</t>
  </si>
  <si>
    <t>PAKUWON</t>
  </si>
  <si>
    <t>CIKUYA</t>
  </si>
  <si>
    <t>RANCAEKEK KULON</t>
  </si>
  <si>
    <t>BABAKAN PENGHULU</t>
  </si>
  <si>
    <t>CIPAISAN</t>
  </si>
  <si>
    <t>SIWALANPANJI</t>
  </si>
  <si>
    <t>SIDOKUMPUL</t>
  </si>
  <si>
    <t>KASIN</t>
  </si>
  <si>
    <t>BANJARARUM</t>
  </si>
  <si>
    <t>TERBAN</t>
  </si>
  <si>
    <t>PEKAUMAN</t>
  </si>
  <si>
    <t>TUGUREJO</t>
  </si>
  <si>
    <t>BANDARHARJO</t>
  </si>
  <si>
    <t>MANGGA DUA SELATAN</t>
  </si>
  <si>
    <t>TANGKI</t>
  </si>
  <si>
    <t>GELORA</t>
  </si>
  <si>
    <t>KEBAYORAN LAMA UTARA</t>
  </si>
  <si>
    <t>CEMPLANG</t>
  </si>
  <si>
    <t>RAWABUNTU</t>
  </si>
  <si>
    <t>RANCAEKEK WETAN</t>
  </si>
  <si>
    <t>BABAKAN SARI</t>
  </si>
  <si>
    <t>AIRLANGGA</t>
  </si>
  <si>
    <t>MARGOREJO</t>
  </si>
  <si>
    <t>LAMBANGKUNING</t>
  </si>
  <si>
    <t>SAMBIRESIK</t>
  </si>
  <si>
    <t>SENGONAGUNG</t>
  </si>
  <si>
    <t>BACIRO</t>
  </si>
  <si>
    <t>BUMIJO</t>
  </si>
  <si>
    <t>SIDOMULYO</t>
  </si>
  <si>
    <t>ARGOMULYO</t>
  </si>
  <si>
    <t>BARUSARI</t>
  </si>
  <si>
    <t>KARANGKEMIRI</t>
  </si>
  <si>
    <t>SEKAYU</t>
  </si>
  <si>
    <t>PUCANGSAWIT</t>
  </si>
  <si>
    <t>SEMANAN</t>
  </si>
  <si>
    <t>RAWAJATI</t>
  </si>
  <si>
    <t>Ring ID</t>
  </si>
  <si>
    <t>KANDANGAN - TANDES 1</t>
  </si>
  <si>
    <t>PASURUAN - REJOSO 2</t>
  </si>
  <si>
    <t>TARIK - MOJOKERTO 1</t>
  </si>
  <si>
    <t>BOWERNO - BABAT</t>
  </si>
  <si>
    <t>TANDES</t>
  </si>
  <si>
    <t>KOTA PASURUAN</t>
  </si>
  <si>
    <t>PANGGUNGREJO</t>
  </si>
  <si>
    <t>KAB. LAMONGAN</t>
  </si>
  <si>
    <t>BABAT</t>
  </si>
  <si>
    <t>Tandes</t>
  </si>
  <si>
    <t>Babat</t>
  </si>
  <si>
    <t>Pasuruan</t>
  </si>
  <si>
    <t>MARGOMULYO RELOK</t>
  </si>
  <si>
    <t>Balongsari</t>
  </si>
  <si>
    <t>PANGGUNGREJO 1</t>
  </si>
  <si>
    <t>IBS MOJOKERTO_KOTA</t>
  </si>
  <si>
    <t>IBS BABAT</t>
  </si>
  <si>
    <t>Sentanan</t>
  </si>
  <si>
    <t>Mandaranrejo</t>
  </si>
  <si>
    <t>Tandes;160435109</t>
  </si>
  <si>
    <t>Pasuruan;163372126</t>
  </si>
  <si>
    <t>Mojokerto;1647992007</t>
  </si>
  <si>
    <t>Babat;1647682003</t>
  </si>
  <si>
    <t>1472761003;Tegal</t>
  </si>
  <si>
    <t>GAJAHMADA TEGAL BARAT - RELOC</t>
  </si>
  <si>
    <t>Distance/Site (m)</t>
  </si>
  <si>
    <t>Status Project</t>
  </si>
  <si>
    <t>Status</t>
  </si>
  <si>
    <t xml:space="preserve"> Krenceng </t>
  </si>
  <si>
    <t xml:space="preserve"> Cilegon 1</t>
  </si>
  <si>
    <t xml:space="preserve"> Karangantu </t>
  </si>
  <si>
    <t xml:space="preserve"> Serang 1</t>
  </si>
  <si>
    <t xml:space="preserve"> Serang 2</t>
  </si>
  <si>
    <t xml:space="preserve"> Serang </t>
  </si>
  <si>
    <t xml:space="preserve"> Walantaka 1</t>
  </si>
  <si>
    <t xml:space="preserve"> Rangkasbitung </t>
  </si>
  <si>
    <t xml:space="preserve"> Citeras</t>
  </si>
  <si>
    <t xml:space="preserve"> Citeras </t>
  </si>
  <si>
    <t xml:space="preserve"> Maja 1</t>
  </si>
  <si>
    <t xml:space="preserve"> Maja 2</t>
  </si>
  <si>
    <t xml:space="preserve"> Rawa Buntu </t>
  </si>
  <si>
    <t xml:space="preserve"> Sudimara 4</t>
  </si>
  <si>
    <t xml:space="preserve"> Sudimara </t>
  </si>
  <si>
    <t xml:space="preserve"> Jurangmangu 1</t>
  </si>
  <si>
    <t xml:space="preserve"> Jurangmangu </t>
  </si>
  <si>
    <t xml:space="preserve"> Pondok Ranji 1</t>
  </si>
  <si>
    <t xml:space="preserve">Cirebon </t>
  </si>
  <si>
    <t xml:space="preserve"> Cirebon Perujakan 2</t>
  </si>
  <si>
    <t xml:space="preserve">Cikampek </t>
  </si>
  <si>
    <t xml:space="preserve"> Pabuaran 1</t>
  </si>
  <si>
    <t xml:space="preserve">Banjar </t>
  </si>
  <si>
    <t xml:space="preserve"> Langen 1</t>
  </si>
  <si>
    <t xml:space="preserve">Karangpucung </t>
  </si>
  <si>
    <t xml:space="preserve"> banjar 2</t>
  </si>
  <si>
    <t xml:space="preserve">Leuwigoong </t>
  </si>
  <si>
    <t xml:space="preserve"> Cibatu 1</t>
  </si>
  <si>
    <t xml:space="preserve">Wanaraja </t>
  </si>
  <si>
    <t xml:space="preserve"> Garut 3</t>
  </si>
  <si>
    <t xml:space="preserve"> Garut 1</t>
  </si>
  <si>
    <t xml:space="preserve">Haurpugur </t>
  </si>
  <si>
    <t xml:space="preserve"> Cicalengka 2</t>
  </si>
  <si>
    <t xml:space="preserve">Rancaekek </t>
  </si>
  <si>
    <t xml:space="preserve"> Haurpugur 2</t>
  </si>
  <si>
    <t xml:space="preserve"> Haurpugur 1</t>
  </si>
  <si>
    <t xml:space="preserve">Cimekar </t>
  </si>
  <si>
    <t xml:space="preserve"> Rancaekek 1</t>
  </si>
  <si>
    <t xml:space="preserve">Kiaracondong </t>
  </si>
  <si>
    <t xml:space="preserve"> Gedebage 1</t>
  </si>
  <si>
    <t xml:space="preserve">Tagogapu </t>
  </si>
  <si>
    <t xml:space="preserve"> padalarang 1</t>
  </si>
  <si>
    <t xml:space="preserve">Sadang </t>
  </si>
  <si>
    <t xml:space="preserve"> Purwakarta 3</t>
  </si>
  <si>
    <t xml:space="preserve">Tambun </t>
  </si>
  <si>
    <t xml:space="preserve"> Cibitung 2</t>
  </si>
  <si>
    <t xml:space="preserve">Bojong Gede </t>
  </si>
  <si>
    <t xml:space="preserve"> Cilebut 1</t>
  </si>
  <si>
    <t xml:space="preserve"> Cibinong</t>
  </si>
  <si>
    <t xml:space="preserve">SURABAYA PASAR TURI </t>
  </si>
  <si>
    <t xml:space="preserve"> SURABAYA KOTA 3</t>
  </si>
  <si>
    <t xml:space="preserve">SURABAYA GUBENG </t>
  </si>
  <si>
    <t xml:space="preserve"> NGAGEL 2</t>
  </si>
  <si>
    <t xml:space="preserve"> NGAGEL 3</t>
  </si>
  <si>
    <t xml:space="preserve">MARGOREJO </t>
  </si>
  <si>
    <t xml:space="preserve"> KERTOMENANGGAL 1</t>
  </si>
  <si>
    <t xml:space="preserve">WARU </t>
  </si>
  <si>
    <t xml:space="preserve"> SAWOTRATAP 2</t>
  </si>
  <si>
    <t xml:space="preserve"> SAWOTRATAP 3</t>
  </si>
  <si>
    <t xml:space="preserve">GEDANGAN </t>
  </si>
  <si>
    <t xml:space="preserve"> BUDURAN 3</t>
  </si>
  <si>
    <t xml:space="preserve">PAGERWOJO </t>
  </si>
  <si>
    <t xml:space="preserve"> SIDOARJO 2</t>
  </si>
  <si>
    <t xml:space="preserve">SEPANJANG </t>
  </si>
  <si>
    <t xml:space="preserve"> GEDANGAN 1</t>
  </si>
  <si>
    <t xml:space="preserve">MOJOKERTO </t>
  </si>
  <si>
    <t xml:space="preserve"> CURAHMALANG 1</t>
  </si>
  <si>
    <t xml:space="preserve"> SUMOBITO 1</t>
  </si>
  <si>
    <t xml:space="preserve">PETERONGAN </t>
  </si>
  <si>
    <t xml:space="preserve"> JOMBANG 3</t>
  </si>
  <si>
    <t xml:space="preserve"> JOMBANG 4</t>
  </si>
  <si>
    <t xml:space="preserve">KERTOSONO </t>
  </si>
  <si>
    <t xml:space="preserve"> BARON 2</t>
  </si>
  <si>
    <t xml:space="preserve">MINGGIRAN </t>
  </si>
  <si>
    <t xml:space="preserve"> SUSUHAN 2</t>
  </si>
  <si>
    <t xml:space="preserve">PAKISAJI </t>
  </si>
  <si>
    <t xml:space="preserve"> MALANG KOTA LAMA 1</t>
  </si>
  <si>
    <t xml:space="preserve">MALANG </t>
  </si>
  <si>
    <t xml:space="preserve"> BLIMBING 1</t>
  </si>
  <si>
    <t xml:space="preserve">BLIMBING </t>
  </si>
  <si>
    <t xml:space="preserve"> SINGOSARI 1</t>
  </si>
  <si>
    <t xml:space="preserve">SENGON </t>
  </si>
  <si>
    <t xml:space="preserve"> SUKOREJO 2</t>
  </si>
  <si>
    <t xml:space="preserve">MANGLI </t>
  </si>
  <si>
    <t xml:space="preserve"> KALIWATES 1</t>
  </si>
  <si>
    <t xml:space="preserve">JEMBER </t>
  </si>
  <si>
    <t xml:space="preserve"> ARJASA 1</t>
  </si>
  <si>
    <t xml:space="preserve">KALIWATES </t>
  </si>
  <si>
    <t xml:space="preserve"> JEMBER 3</t>
  </si>
  <si>
    <t xml:space="preserve"> LEMPUYANGAN </t>
  </si>
  <si>
    <t xml:space="preserve"> MAGUWO 1</t>
  </si>
  <si>
    <t xml:space="preserve"> TUGU JOGJA </t>
  </si>
  <si>
    <t xml:space="preserve"> LEMPUYANGAN 4</t>
  </si>
  <si>
    <t xml:space="preserve"> LEMPUYANGAN 3</t>
  </si>
  <si>
    <t xml:space="preserve"> REWULU </t>
  </si>
  <si>
    <t xml:space="preserve"> PATUKAN 3</t>
  </si>
  <si>
    <t xml:space="preserve"> PATUKAN 1</t>
  </si>
  <si>
    <t xml:space="preserve">Brebes </t>
  </si>
  <si>
    <t xml:space="preserve"> Tegal 1</t>
  </si>
  <si>
    <t xml:space="preserve">Jerakah </t>
  </si>
  <si>
    <t xml:space="preserve"> Semarang Poncol 2</t>
  </si>
  <si>
    <t xml:space="preserve">Kasugihan </t>
  </si>
  <si>
    <t xml:space="preserve"> Maos 1</t>
  </si>
  <si>
    <t xml:space="preserve">Mangkang </t>
  </si>
  <si>
    <t xml:space="preserve"> Jerakah 1</t>
  </si>
  <si>
    <t xml:space="preserve">Purwosari </t>
  </si>
  <si>
    <t xml:space="preserve"> Solo Kota 1</t>
  </si>
  <si>
    <t xml:space="preserve">Semarang Poncol </t>
  </si>
  <si>
    <t xml:space="preserve"> Semarang Tawang 1</t>
  </si>
  <si>
    <t xml:space="preserve"> Semarang Tawang 3</t>
  </si>
  <si>
    <t xml:space="preserve">Semarang Tawang </t>
  </si>
  <si>
    <t xml:space="preserve"> Alastua 1</t>
  </si>
  <si>
    <t xml:space="preserve">Solo Kota </t>
  </si>
  <si>
    <t xml:space="preserve"> Palur 1</t>
  </si>
  <si>
    <t xml:space="preserve">Angke </t>
  </si>
  <si>
    <t xml:space="preserve"> Jayakarta A</t>
  </si>
  <si>
    <t xml:space="preserve"> Jayakarta B</t>
  </si>
  <si>
    <t xml:space="preserve">Duri </t>
  </si>
  <si>
    <t xml:space="preserve"> Mangga Besar</t>
  </si>
  <si>
    <t xml:space="preserve">Tanah Abang </t>
  </si>
  <si>
    <t xml:space="preserve"> Palmerah</t>
  </si>
  <si>
    <t xml:space="preserve">Kalideres </t>
  </si>
  <si>
    <t xml:space="preserve"> Rawabuaya A</t>
  </si>
  <si>
    <t xml:space="preserve">Kebayoran </t>
  </si>
  <si>
    <t xml:space="preserve"> Pondok Ranji</t>
  </si>
  <si>
    <t xml:space="preserve">Gang Sentiong </t>
  </si>
  <si>
    <t xml:space="preserve"> Klender</t>
  </si>
  <si>
    <t xml:space="preserve"> Duren Kalibata</t>
  </si>
  <si>
    <t xml:space="preserve">KANDANGAN </t>
  </si>
  <si>
    <t xml:space="preserve"> TANDES 1</t>
  </si>
  <si>
    <t xml:space="preserve">PASURUAN </t>
  </si>
  <si>
    <t xml:space="preserve"> REJOSO 2</t>
  </si>
  <si>
    <t xml:space="preserve">TARIK </t>
  </si>
  <si>
    <t xml:space="preserve"> MOJOKERTO 1</t>
  </si>
  <si>
    <t xml:space="preserve">BOWERNO </t>
  </si>
  <si>
    <t xml:space="preserve"> BABAT</t>
  </si>
  <si>
    <t>Station</t>
  </si>
  <si>
    <t>Direct to Station</t>
  </si>
  <si>
    <t>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</si>
</sst>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-* #,##0_-;\-* #,##0_-;_-* &quot;-&quot;??_-;_-@_-"/>
    <numFmt numFmtId="165" formatCode="[$-13809]d\ mmm\ yyyy;@"/>
    <numFmt numFmtId="166" formatCode="0.00000"/>
    <numFmt numFmtId="167" formatCode="_(* #,##0.00_);_(* \(#,##0.00\);_(* &quot;-&quot;??_);_(@_)"/>
    <numFmt numFmtId="168" formatCode="#,##0_ ;\-#,##0\ 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64" fontId="8" fillId="5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7" fontId="6" fillId="7" borderId="1" xfId="0" applyNumberFormat="1" applyFont="1" applyFill="1" applyBorder="1" applyAlignment="1">
      <alignment vertical="center"/>
    </xf>
    <xf numFmtId="168" fontId="8" fillId="5" borderId="1" xfId="1" applyNumberFormat="1" applyFont="1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1" fillId="0" borderId="0" xfId="0" applyFont="1"/>
    <xf numFmtId="3" fontId="0" fillId="0" borderId="0" xfId="0" applyNumberFormat="1"/>
    <xf numFmtId="3" fontId="5" fillId="3" borderId="1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Border="1"/>
    <xf numFmtId="0" fontId="4" fillId="0" borderId="0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1712160079.TBG\Downloads\Site%20Soft%20Launch%20Combine%20V3%20106_upd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_Status Site"/>
      <sheetName val="Summary Surge"/>
      <sheetName val="List"/>
    </sheetNames>
    <sheetDataSet>
      <sheetData sheetId="0"/>
      <sheetData sheetId="1"/>
      <sheetData sheetId="2"/>
      <sheetData sheetId="3">
        <row r="2">
          <cell r="B2" t="str">
            <v>Site_id</v>
          </cell>
          <cell r="C2" t="str">
            <v>Company_group</v>
          </cell>
          <cell r="D2" t="str">
            <v>Company</v>
          </cell>
          <cell r="E2" t="str">
            <v>Island</v>
          </cell>
          <cell r="F2" t="str">
            <v>Provinsi</v>
          </cell>
          <cell r="G2" t="str">
            <v>Kabkot</v>
          </cell>
          <cell r="H2" t="str">
            <v>Kecamatan</v>
          </cell>
          <cell r="I2" t="str">
            <v>site_type</v>
          </cell>
          <cell r="J2" t="str">
            <v>tower_type</v>
          </cell>
          <cell r="K2" t="str">
            <v>lat</v>
          </cell>
          <cell r="L2" t="str">
            <v>long</v>
          </cell>
          <cell r="M2" t="str">
            <v>status site</v>
          </cell>
          <cell r="N2" t="str">
            <v>Remark Site List</v>
          </cell>
          <cell r="O2" t="str">
            <v>Commcase Status</v>
          </cell>
          <cell r="P2" t="str">
            <v>Remarks Commcase</v>
          </cell>
          <cell r="Q2" t="str">
            <v>Land lease end</v>
          </cell>
          <cell r="R2" t="str">
            <v>Land lease end (year)</v>
          </cell>
          <cell r="S2" t="str">
            <v>Leadtime Collo</v>
          </cell>
          <cell r="T2" t="str">
            <v>Space Available Collo</v>
          </cell>
          <cell r="U2" t="str">
            <v>Pre Analysis Result Collo</v>
          </cell>
          <cell r="V2" t="str">
            <v>Space Available</v>
          </cell>
          <cell r="W2" t="str">
            <v>Feasibility FO Status</v>
          </cell>
          <cell r="X2" t="str">
            <v>Feasibility FO Remarks</v>
          </cell>
          <cell r="Y2" t="str">
            <v>Lead time FO</v>
          </cell>
          <cell r="Z2" t="str">
            <v>Tenant</v>
          </cell>
          <cell r="AA2" t="str">
            <v>Tenant Lease End</v>
          </cell>
          <cell r="AB2" t="str">
            <v>Tenant Lease End year</v>
          </cell>
          <cell r="AC2" t="str">
            <v>Site Name TBG</v>
          </cell>
          <cell r="AD2" t="str">
            <v>Site Type TBG</v>
          </cell>
          <cell r="AE2" t="str">
            <v>Tower Type TBG</v>
          </cell>
          <cell r="AF2" t="str">
            <v>Tower Height</v>
          </cell>
          <cell r="AG2" t="str">
            <v>Status</v>
          </cell>
          <cell r="AH2" t="str">
            <v>Long</v>
          </cell>
          <cell r="AI2" t="str">
            <v>Lat</v>
          </cell>
          <cell r="AJ2" t="str">
            <v>Final Status</v>
          </cell>
          <cell r="AK2" t="str">
            <v>Commcase</v>
          </cell>
          <cell r="AL2" t="str">
            <v>Land Lease</v>
          </cell>
          <cell r="AM2" t="str">
            <v>Site Status Progress</v>
          </cell>
          <cell r="AO2" t="str">
            <v>Site_id Final</v>
          </cell>
          <cell r="AP2" t="str">
            <v>Site Name Final</v>
          </cell>
          <cell r="AQ2" t="str">
            <v>lat Final</v>
          </cell>
          <cell r="AR2" t="str">
            <v>long Final</v>
          </cell>
          <cell r="AS2" t="str">
            <v>Company_group Final</v>
          </cell>
          <cell r="AT2" t="str">
            <v>Company Final</v>
          </cell>
          <cell r="AU2" t="str">
            <v>Island Final</v>
          </cell>
          <cell r="AV2" t="str">
            <v>Provinsi Final</v>
          </cell>
          <cell r="AW2" t="str">
            <v>Kabkot Final</v>
          </cell>
          <cell r="AX2" t="str">
            <v>Kecamatan Final</v>
          </cell>
          <cell r="AY2" t="str">
            <v>site_type Final</v>
          </cell>
          <cell r="AZ2" t="str">
            <v>tower_type Final</v>
          </cell>
          <cell r="BA2" t="str">
            <v>Tower Height Final</v>
          </cell>
          <cell r="BD2" t="str">
            <v>check</v>
          </cell>
        </row>
        <row r="3">
          <cell r="B3">
            <v>1321162007</v>
          </cell>
          <cell r="C3" t="str">
            <v>TBG GROUP</v>
          </cell>
          <cell r="D3" t="str">
            <v>TBG</v>
          </cell>
          <cell r="E3" t="str">
            <v>JAWA</v>
          </cell>
          <cell r="F3" t="str">
            <v>BANTEN</v>
          </cell>
          <cell r="G3" t="str">
            <v>KOTA SERANG</v>
          </cell>
          <cell r="H3" t="str">
            <v>SERANG</v>
          </cell>
          <cell r="I3" t="str">
            <v>GREEN FIELD</v>
          </cell>
          <cell r="J3" t="str">
            <v>SST</v>
          </cell>
          <cell r="K3">
            <v>-6.1163599999999976</v>
          </cell>
          <cell r="L3">
            <v>106.16200000000001</v>
          </cell>
          <cell r="M3" t="str">
            <v>Ready for Integration (RFI)</v>
          </cell>
          <cell r="N3" t="str">
            <v>Site 101 &amp; Site 106</v>
          </cell>
          <cell r="O3" t="str">
            <v>Oke - tidak ada issue</v>
          </cell>
          <cell r="P3" t="str">
            <v>Tidak ada isue</v>
          </cell>
          <cell r="Q3" t="str">
            <v>2027-12-06 00:00:00</v>
          </cell>
          <cell r="R3">
            <v>2027</v>
          </cell>
          <cell r="S3" t="str">
            <v>30 Days</v>
          </cell>
          <cell r="T3" t="str">
            <v>20M</v>
          </cell>
          <cell r="U3" t="str">
            <v>No Need STR</v>
          </cell>
          <cell r="V3" t="str">
            <v>20m</v>
          </cell>
          <cell r="W3" t="str">
            <v>OK</v>
          </cell>
          <cell r="AC3" t="str">
            <v>IBS CIMUNCANG SERANG</v>
          </cell>
          <cell r="AD3" t="str">
            <v>GREEN FIELD</v>
          </cell>
          <cell r="AE3" t="str">
            <v>SST</v>
          </cell>
          <cell r="AF3">
            <v>30</v>
          </cell>
          <cell r="AM3" t="str">
            <v>Go</v>
          </cell>
          <cell r="AO3">
            <v>1321162007</v>
          </cell>
          <cell r="AP3" t="str">
            <v>IBS CIMUNCANG SERANG</v>
          </cell>
          <cell r="AQ3">
            <v>-6.1163599999999976</v>
          </cell>
          <cell r="AR3">
            <v>106.16200000000001</v>
          </cell>
          <cell r="AS3" t="str">
            <v>TBG GROUP</v>
          </cell>
          <cell r="AT3" t="str">
            <v>TBG</v>
          </cell>
          <cell r="AU3" t="str">
            <v>JAWA</v>
          </cell>
          <cell r="AV3" t="str">
            <v>BANTEN</v>
          </cell>
          <cell r="AW3" t="str">
            <v>KOTA SERANG</v>
          </cell>
          <cell r="AX3" t="str">
            <v>SERANG</v>
          </cell>
          <cell r="AY3" t="str">
            <v>GREEN FIELD</v>
          </cell>
          <cell r="AZ3" t="str">
            <v>SST</v>
          </cell>
          <cell r="BA3">
            <v>30</v>
          </cell>
          <cell r="BB3">
            <v>0</v>
          </cell>
          <cell r="BC3">
            <v>0</v>
          </cell>
          <cell r="BD3" t="str">
            <v>Go</v>
          </cell>
        </row>
        <row r="4">
          <cell r="B4">
            <v>130176110</v>
          </cell>
          <cell r="C4" t="str">
            <v>TBG GROUP</v>
          </cell>
          <cell r="D4" t="str">
            <v>TBG</v>
          </cell>
          <cell r="E4" t="str">
            <v>JAWA</v>
          </cell>
          <cell r="F4" t="str">
            <v>BANTEN</v>
          </cell>
          <cell r="G4" t="str">
            <v>KOTA SERANG</v>
          </cell>
          <cell r="H4" t="str">
            <v>SERANG</v>
          </cell>
          <cell r="I4" t="str">
            <v>ROOF TOP</v>
          </cell>
          <cell r="J4" t="str">
            <v>MINI TOWER</v>
          </cell>
          <cell r="K4">
            <v>-6.1255899999999981</v>
          </cell>
          <cell r="L4">
            <v>106.15985999999999</v>
          </cell>
          <cell r="M4" t="str">
            <v>Ready for Integration (RFI)</v>
          </cell>
          <cell r="N4" t="str">
            <v>Site 101 &amp; Site 106</v>
          </cell>
          <cell r="O4" t="str">
            <v>Oke - tidak ada issue</v>
          </cell>
          <cell r="P4" t="str">
            <v>Tidak ada isue</v>
          </cell>
          <cell r="Q4" t="str">
            <v>2033-09-17 00:00:00</v>
          </cell>
          <cell r="R4">
            <v>2033</v>
          </cell>
          <cell r="S4" t="str">
            <v>30 Days</v>
          </cell>
          <cell r="T4" t="str">
            <v>20M</v>
          </cell>
          <cell r="U4" t="str">
            <v>No Need STR</v>
          </cell>
          <cell r="V4" t="str">
            <v>20m</v>
          </cell>
          <cell r="W4" t="str">
            <v>OK</v>
          </cell>
          <cell r="AC4" t="str">
            <v>3G ABDUL HADI PANDEGLANG</v>
          </cell>
          <cell r="AD4" t="str">
            <v>ROOF TOP</v>
          </cell>
          <cell r="AE4" t="str">
            <v>MINI TOWER</v>
          </cell>
          <cell r="AF4">
            <v>31</v>
          </cell>
          <cell r="AM4" t="str">
            <v>Go</v>
          </cell>
          <cell r="AO4">
            <v>130176110</v>
          </cell>
          <cell r="AP4" t="str">
            <v>3G ABDUL HADI PANDEGLANG</v>
          </cell>
          <cell r="AQ4">
            <v>-6.1255899999999981</v>
          </cell>
          <cell r="AR4">
            <v>106.15985999999999</v>
          </cell>
          <cell r="AS4" t="str">
            <v>TBG GROUP</v>
          </cell>
          <cell r="AT4" t="str">
            <v>TBG</v>
          </cell>
          <cell r="AU4" t="str">
            <v>JAWA</v>
          </cell>
          <cell r="AV4" t="str">
            <v>BANTEN</v>
          </cell>
          <cell r="AW4" t="str">
            <v>KOTA SERANG</v>
          </cell>
          <cell r="AX4" t="str">
            <v>SERANG</v>
          </cell>
          <cell r="AY4" t="str">
            <v>ROOF TOP</v>
          </cell>
          <cell r="AZ4" t="str">
            <v>MINI TOWER</v>
          </cell>
          <cell r="BA4">
            <v>31</v>
          </cell>
          <cell r="BB4">
            <v>11</v>
          </cell>
          <cell r="BC4">
            <v>0</v>
          </cell>
          <cell r="BD4" t="str">
            <v>Go</v>
          </cell>
        </row>
        <row r="5">
          <cell r="B5" t="str">
            <v>T000365</v>
          </cell>
          <cell r="C5" t="str">
            <v>TBG GROUP</v>
          </cell>
          <cell r="D5" t="str">
            <v>TBG</v>
          </cell>
          <cell r="E5" t="str">
            <v>JAWA</v>
          </cell>
          <cell r="F5" t="str">
            <v>BANTEN</v>
          </cell>
          <cell r="G5" t="str">
            <v>KAB. LEBAK</v>
          </cell>
          <cell r="H5" t="str">
            <v>RANGKASBITUNG</v>
          </cell>
          <cell r="I5" t="str">
            <v>GREEN FIELD</v>
          </cell>
          <cell r="J5" t="str">
            <v>SST</v>
          </cell>
          <cell r="K5">
            <v>-6.34117</v>
          </cell>
          <cell r="L5">
            <v>106.3231</v>
          </cell>
          <cell r="M5" t="str">
            <v>Ready for Integration (RFI)</v>
          </cell>
          <cell r="N5" t="str">
            <v>Site 101 &amp; Site 106</v>
          </cell>
          <cell r="O5" t="str">
            <v>Oke - tidak ada issue</v>
          </cell>
          <cell r="P5" t="str">
            <v>Tidak ada isue</v>
          </cell>
          <cell r="Q5" t="str">
            <v>2032-12-28 00:00:00</v>
          </cell>
          <cell r="R5">
            <v>2032</v>
          </cell>
          <cell r="S5" t="str">
            <v>30 Days</v>
          </cell>
          <cell r="T5" t="str">
            <v>20M</v>
          </cell>
          <cell r="U5" t="str">
            <v>No Need STR</v>
          </cell>
          <cell r="V5" t="str">
            <v>20m</v>
          </cell>
          <cell r="W5" t="str">
            <v>OK</v>
          </cell>
          <cell r="AC5" t="str">
            <v>CITERAS</v>
          </cell>
          <cell r="AD5" t="str">
            <v>GREEN FIELD</v>
          </cell>
          <cell r="AE5" t="str">
            <v>SST</v>
          </cell>
          <cell r="AF5">
            <v>32</v>
          </cell>
          <cell r="AM5" t="str">
            <v>Go</v>
          </cell>
          <cell r="AO5" t="str">
            <v>T000365</v>
          </cell>
          <cell r="AP5" t="str">
            <v>CITERAS</v>
          </cell>
          <cell r="AQ5">
            <v>-6.34117</v>
          </cell>
          <cell r="AR5">
            <v>106.3231</v>
          </cell>
          <cell r="AS5" t="str">
            <v>TBG GROUP</v>
          </cell>
          <cell r="AT5" t="str">
            <v>TBG</v>
          </cell>
          <cell r="AU5" t="str">
            <v>JAWA</v>
          </cell>
          <cell r="AV5" t="str">
            <v>BANTEN</v>
          </cell>
          <cell r="AW5" t="str">
            <v>KAB. LEBAK</v>
          </cell>
          <cell r="AX5" t="str">
            <v>RANGKASBITUNG</v>
          </cell>
          <cell r="AY5" t="str">
            <v>GREEN FIELD</v>
          </cell>
          <cell r="AZ5" t="str">
            <v>SST</v>
          </cell>
          <cell r="BA5">
            <v>32</v>
          </cell>
          <cell r="BB5">
            <v>0</v>
          </cell>
          <cell r="BC5">
            <v>0</v>
          </cell>
          <cell r="BD5" t="str">
            <v>Go</v>
          </cell>
        </row>
        <row r="6">
          <cell r="B6">
            <v>1323011003</v>
          </cell>
          <cell r="C6" t="str">
            <v>TBG GROUP</v>
          </cell>
          <cell r="D6" t="str">
            <v>TBG</v>
          </cell>
          <cell r="E6" t="str">
            <v>JAWA</v>
          </cell>
          <cell r="F6" t="str">
            <v>BANTEN</v>
          </cell>
          <cell r="G6" t="str">
            <v>KAB. SERANG</v>
          </cell>
          <cell r="H6" t="str">
            <v>JAWILAN</v>
          </cell>
          <cell r="I6" t="str">
            <v>GREEN FIELD</v>
          </cell>
          <cell r="J6" t="str">
            <v>SST</v>
          </cell>
          <cell r="K6">
            <v>-6.3289999999999997</v>
          </cell>
          <cell r="L6">
            <v>106.33747200000001</v>
          </cell>
          <cell r="M6" t="str">
            <v>Ready for Integration (RFI)</v>
          </cell>
          <cell r="N6" t="str">
            <v>Site 101 &amp; Site 106</v>
          </cell>
          <cell r="O6" t="str">
            <v>Oke - tidak ada issue</v>
          </cell>
          <cell r="P6" t="str">
            <v>Tidak ada isue</v>
          </cell>
          <cell r="Q6" t="str">
            <v>2042-02-28 00:00:00</v>
          </cell>
          <cell r="R6">
            <v>2042</v>
          </cell>
          <cell r="S6" t="str">
            <v>30 Days</v>
          </cell>
          <cell r="T6" t="str">
            <v>20M</v>
          </cell>
          <cell r="U6" t="str">
            <v>No Need STR</v>
          </cell>
          <cell r="V6" t="str">
            <v>20m</v>
          </cell>
          <cell r="W6" t="str">
            <v>OK</v>
          </cell>
          <cell r="AC6" t="str">
            <v>CIKANDE_CEMPLANG</v>
          </cell>
          <cell r="AD6" t="str">
            <v>GREEN FIELD</v>
          </cell>
          <cell r="AE6" t="str">
            <v>SST</v>
          </cell>
          <cell r="AF6">
            <v>52</v>
          </cell>
          <cell r="AM6" t="str">
            <v>Go</v>
          </cell>
          <cell r="AO6">
            <v>1323011003</v>
          </cell>
          <cell r="AP6" t="str">
            <v>CIKANDE_CEMPLANG</v>
          </cell>
          <cell r="AQ6">
            <v>-6.3289999999999997</v>
          </cell>
          <cell r="AR6">
            <v>106.33747200000001</v>
          </cell>
          <cell r="AS6" t="str">
            <v>TBG GROUP</v>
          </cell>
          <cell r="AT6" t="str">
            <v>TBG</v>
          </cell>
          <cell r="AU6" t="str">
            <v>JAWA</v>
          </cell>
          <cell r="AV6" t="str">
            <v>BANTEN</v>
          </cell>
          <cell r="AW6" t="str">
            <v>KAB. SERANG</v>
          </cell>
          <cell r="AX6" t="str">
            <v>JAWILAN</v>
          </cell>
          <cell r="AY6" t="str">
            <v>GREEN FIELD</v>
          </cell>
          <cell r="AZ6" t="str">
            <v>SST</v>
          </cell>
          <cell r="BA6">
            <v>52</v>
          </cell>
          <cell r="BB6">
            <v>0</v>
          </cell>
          <cell r="BC6">
            <v>0</v>
          </cell>
          <cell r="BD6" t="str">
            <v>Go</v>
          </cell>
        </row>
        <row r="7">
          <cell r="B7">
            <v>130218104</v>
          </cell>
          <cell r="C7" t="str">
            <v>TBG GROUP</v>
          </cell>
          <cell r="D7" t="str">
            <v>TBG</v>
          </cell>
          <cell r="E7" t="str">
            <v>JAWA</v>
          </cell>
          <cell r="F7" t="str">
            <v>BANTEN</v>
          </cell>
          <cell r="G7" t="str">
            <v>KAB. LEBAK</v>
          </cell>
          <cell r="H7" t="str">
            <v>MAJA</v>
          </cell>
          <cell r="I7" t="str">
            <v>GREEN FIELD</v>
          </cell>
          <cell r="J7" t="str">
            <v>SST</v>
          </cell>
          <cell r="K7">
            <v>-6.3422999999999998</v>
          </cell>
          <cell r="L7">
            <v>106.39772000000001</v>
          </cell>
          <cell r="M7" t="str">
            <v>Ready for Integration (RFI)</v>
          </cell>
          <cell r="N7" t="str">
            <v>Site 101 &amp; Site 106</v>
          </cell>
          <cell r="O7" t="str">
            <v>Oke - tidak ada issue</v>
          </cell>
          <cell r="P7" t="str">
            <v>Tidak ada isue</v>
          </cell>
          <cell r="Q7" t="str">
            <v>2028-07-30 00:00:00</v>
          </cell>
          <cell r="R7">
            <v>2028</v>
          </cell>
          <cell r="S7" t="str">
            <v>30 Days</v>
          </cell>
          <cell r="T7" t="str">
            <v>20M</v>
          </cell>
          <cell r="U7" t="str">
            <v>No Need STR</v>
          </cell>
          <cell r="V7" t="str">
            <v>20m</v>
          </cell>
          <cell r="W7" t="str">
            <v>OK</v>
          </cell>
          <cell r="AC7" t="str">
            <v>MAJA</v>
          </cell>
          <cell r="AD7" t="str">
            <v>GREEN FIELD</v>
          </cell>
          <cell r="AE7" t="str">
            <v>SST</v>
          </cell>
          <cell r="AF7">
            <v>52</v>
          </cell>
          <cell r="AM7" t="str">
            <v>Go</v>
          </cell>
          <cell r="AO7">
            <v>130218104</v>
          </cell>
          <cell r="AP7" t="str">
            <v>MAJA</v>
          </cell>
          <cell r="AQ7">
            <v>-6.3422999999999998</v>
          </cell>
          <cell r="AR7">
            <v>106.39772000000001</v>
          </cell>
          <cell r="AS7" t="str">
            <v>TBG GROUP</v>
          </cell>
          <cell r="AT7" t="str">
            <v>TBG</v>
          </cell>
          <cell r="AU7" t="str">
            <v>JAWA</v>
          </cell>
          <cell r="AV7" t="str">
            <v>BANTEN</v>
          </cell>
          <cell r="AW7" t="str">
            <v>KAB. LEBAK</v>
          </cell>
          <cell r="AX7" t="str">
            <v>MAJA</v>
          </cell>
          <cell r="AY7" t="str">
            <v>GREEN FIELD</v>
          </cell>
          <cell r="AZ7" t="str">
            <v>SST</v>
          </cell>
          <cell r="BA7">
            <v>52</v>
          </cell>
          <cell r="BB7">
            <v>0</v>
          </cell>
          <cell r="BC7">
            <v>0</v>
          </cell>
          <cell r="BD7" t="str">
            <v>Go</v>
          </cell>
        </row>
        <row r="8">
          <cell r="B8">
            <v>150659103</v>
          </cell>
          <cell r="C8" t="str">
            <v>TBG GROUP</v>
          </cell>
          <cell r="D8" t="str">
            <v>TBG</v>
          </cell>
          <cell r="E8" t="str">
            <v>JAWA</v>
          </cell>
          <cell r="F8" t="str">
            <v>DAERAH ISTIMEWA YOGYAKARTA</v>
          </cell>
          <cell r="G8" t="str">
            <v>KAB. BANTUL</v>
          </cell>
          <cell r="H8" t="str">
            <v>SEDAYU</v>
          </cell>
          <cell r="I8" t="str">
            <v>GREEN FIELD</v>
          </cell>
          <cell r="J8" t="str">
            <v>SST</v>
          </cell>
          <cell r="K8">
            <v>-7.7998200000000004</v>
          </cell>
          <cell r="L8">
            <v>110.28273</v>
          </cell>
          <cell r="M8" t="str">
            <v>Ready for Integration (RFI)</v>
          </cell>
          <cell r="N8" t="str">
            <v>Site 101 &amp; Site 106</v>
          </cell>
          <cell r="O8" t="str">
            <v>Berpotensi terjadi Commcase</v>
          </cell>
          <cell r="P8" t="str">
            <v>Tidak berpotensi hard comcase</v>
          </cell>
          <cell r="Q8" t="str">
            <v>2039-06-17 00:00:00</v>
          </cell>
          <cell r="R8">
            <v>2039</v>
          </cell>
          <cell r="S8" t="str">
            <v>30 Days</v>
          </cell>
          <cell r="T8" t="str">
            <v>20M</v>
          </cell>
          <cell r="U8" t="str">
            <v>NO Need STR</v>
          </cell>
          <cell r="V8" t="str">
            <v>20m</v>
          </cell>
          <cell r="W8" t="str">
            <v>OK</v>
          </cell>
          <cell r="AC8" t="str">
            <v>BALECATUR GAMPING</v>
          </cell>
          <cell r="AD8" t="str">
            <v>GREEN FIELD</v>
          </cell>
          <cell r="AE8" t="str">
            <v>SST</v>
          </cell>
          <cell r="AF8">
            <v>42</v>
          </cell>
          <cell r="AM8" t="str">
            <v>Go</v>
          </cell>
          <cell r="AO8">
            <v>150659103</v>
          </cell>
          <cell r="AP8" t="str">
            <v>BALECATUR GAMPING</v>
          </cell>
          <cell r="AQ8">
            <v>-7.7998200000000004</v>
          </cell>
          <cell r="AR8">
            <v>110.28273</v>
          </cell>
          <cell r="AS8" t="str">
            <v>TBG GROUP</v>
          </cell>
          <cell r="AT8" t="str">
            <v>TBG</v>
          </cell>
          <cell r="AU8" t="str">
            <v>JAWA</v>
          </cell>
          <cell r="AV8" t="str">
            <v>DAERAH ISTIMEWA YOGYAKARTA</v>
          </cell>
          <cell r="AW8" t="str">
            <v>KAB. BANTUL</v>
          </cell>
          <cell r="AX8" t="str">
            <v>SEDAYU</v>
          </cell>
          <cell r="AY8" t="str">
            <v>GREEN FIELD</v>
          </cell>
          <cell r="AZ8" t="str">
            <v>SST</v>
          </cell>
          <cell r="BA8">
            <v>42</v>
          </cell>
          <cell r="BB8">
            <v>0</v>
          </cell>
          <cell r="BC8">
            <v>0</v>
          </cell>
          <cell r="BD8" t="str">
            <v>Go</v>
          </cell>
        </row>
        <row r="9">
          <cell r="B9">
            <v>1509741023</v>
          </cell>
          <cell r="C9" t="str">
            <v>TBG GROUP</v>
          </cell>
          <cell r="D9" t="str">
            <v>TBG</v>
          </cell>
          <cell r="E9" t="str">
            <v>JAWA</v>
          </cell>
          <cell r="F9" t="str">
            <v>DAERAH ISTIMEWA YOGYAKARTA</v>
          </cell>
          <cell r="G9" t="str">
            <v>KAB. SLEMAN</v>
          </cell>
          <cell r="H9" t="str">
            <v>GODEAN</v>
          </cell>
          <cell r="I9" t="str">
            <v>GREEN FIELD</v>
          </cell>
          <cell r="J9" t="str">
            <v>SST</v>
          </cell>
          <cell r="K9">
            <v>-7.7937599999999998</v>
          </cell>
          <cell r="L9">
            <v>110.29522</v>
          </cell>
          <cell r="M9" t="str">
            <v>Ready for Integration (RFI)</v>
          </cell>
          <cell r="N9" t="str">
            <v>Site 101 &amp; Site 106</v>
          </cell>
          <cell r="O9" t="str">
            <v>Berpotensi terjadi Commcase</v>
          </cell>
          <cell r="P9" t="str">
            <v>Tidak berpotensi hard comcase</v>
          </cell>
          <cell r="Q9" t="str">
            <v>2031-10-04 00:00:00</v>
          </cell>
          <cell r="R9">
            <v>2031</v>
          </cell>
          <cell r="S9" t="str">
            <v>30 Days</v>
          </cell>
          <cell r="T9" t="str">
            <v>20M</v>
          </cell>
          <cell r="U9" t="str">
            <v>NO Need STR</v>
          </cell>
          <cell r="V9" t="str">
            <v>20m</v>
          </cell>
          <cell r="W9" t="str">
            <v>OK</v>
          </cell>
          <cell r="AC9" t="str">
            <v>SLEMAN GAMPING</v>
          </cell>
          <cell r="AD9" t="str">
            <v>GREEN FIELD</v>
          </cell>
          <cell r="AE9" t="str">
            <v>SST</v>
          </cell>
          <cell r="AF9">
            <v>52</v>
          </cell>
          <cell r="AM9" t="str">
            <v>Go</v>
          </cell>
          <cell r="AO9">
            <v>1509741023</v>
          </cell>
          <cell r="AP9" t="str">
            <v>SLEMAN GAMPING</v>
          </cell>
          <cell r="AQ9">
            <v>-7.7937599999999998</v>
          </cell>
          <cell r="AR9">
            <v>110.29522</v>
          </cell>
          <cell r="AS9" t="str">
            <v>TBG GROUP</v>
          </cell>
          <cell r="AT9" t="str">
            <v>TBG</v>
          </cell>
          <cell r="AU9" t="str">
            <v>JAWA</v>
          </cell>
          <cell r="AV9" t="str">
            <v>DAERAH ISTIMEWA YOGYAKARTA</v>
          </cell>
          <cell r="AW9" t="str">
            <v>KAB. SLEMAN</v>
          </cell>
          <cell r="AX9" t="str">
            <v>GODEAN</v>
          </cell>
          <cell r="AY9" t="str">
            <v>GREEN FIELD</v>
          </cell>
          <cell r="AZ9" t="str">
            <v>SST</v>
          </cell>
          <cell r="BA9">
            <v>52</v>
          </cell>
          <cell r="BB9">
            <v>0</v>
          </cell>
          <cell r="BC9">
            <v>0</v>
          </cell>
          <cell r="BD9" t="str">
            <v>Go</v>
          </cell>
        </row>
        <row r="10">
          <cell r="B10">
            <v>1271592023</v>
          </cell>
          <cell r="C10" t="str">
            <v>TBG GROUP</v>
          </cell>
          <cell r="D10" t="str">
            <v>TBG</v>
          </cell>
          <cell r="E10" t="str">
            <v>JAWA</v>
          </cell>
          <cell r="F10" t="str">
            <v>JAWA BARAT</v>
          </cell>
          <cell r="G10" t="str">
            <v>KAB. BEKASI</v>
          </cell>
          <cell r="H10" t="str">
            <v>TAMBUN SELATAN</v>
          </cell>
          <cell r="I10" t="str">
            <v>ROOF TOP</v>
          </cell>
          <cell r="J10" t="str">
            <v>POLE</v>
          </cell>
          <cell r="K10">
            <v>-6.2604699999999998</v>
          </cell>
          <cell r="L10">
            <v>107.05637</v>
          </cell>
          <cell r="M10" t="str">
            <v>Ready for Integration (RFI)</v>
          </cell>
          <cell r="N10" t="str">
            <v>Site 101 &amp; Site 106</v>
          </cell>
          <cell r="O10" t="str">
            <v>Oke - tidak ada issue</v>
          </cell>
          <cell r="P10" t="str">
            <v>Tidak ada isue</v>
          </cell>
          <cell r="Q10" t="str">
            <v>2035-10-31 00:00:00</v>
          </cell>
          <cell r="R10">
            <v>2035</v>
          </cell>
          <cell r="S10" t="str">
            <v>60 Days</v>
          </cell>
          <cell r="T10" t="str">
            <v>20M</v>
          </cell>
          <cell r="U10" t="str">
            <v>Need STR No Paralel</v>
          </cell>
          <cell r="V10" t="str">
            <v>20m</v>
          </cell>
          <cell r="W10" t="str">
            <v>OK</v>
          </cell>
          <cell r="AC10" t="str">
            <v>IBS RUKO ANEKA MOTOR (EX TOKO BUMI ASIH)</v>
          </cell>
          <cell r="AD10" t="str">
            <v>ROOF TOP</v>
          </cell>
          <cell r="AE10" t="str">
            <v>POLE</v>
          </cell>
          <cell r="AF10">
            <v>23</v>
          </cell>
          <cell r="AM10" t="str">
            <v>Hold</v>
          </cell>
          <cell r="AO10">
            <v>1271592023</v>
          </cell>
          <cell r="AP10" t="str">
            <v>IBS RUKO ANEKA MOTOR (EX TOKO BUMI ASIH)</v>
          </cell>
          <cell r="AQ10">
            <v>-6.2604699999999998</v>
          </cell>
          <cell r="AR10">
            <v>107.05637</v>
          </cell>
          <cell r="AS10" t="str">
            <v>TBG GROUP</v>
          </cell>
          <cell r="AT10" t="str">
            <v>TBG</v>
          </cell>
          <cell r="AU10" t="str">
            <v>JAWA</v>
          </cell>
          <cell r="AV10" t="str">
            <v>JAWA BARAT</v>
          </cell>
          <cell r="AW10" t="str">
            <v>KAB. BEKASI</v>
          </cell>
          <cell r="AX10" t="str">
            <v>TAMBUN SELATAN</v>
          </cell>
          <cell r="AY10" t="str">
            <v>ROOF TOP</v>
          </cell>
          <cell r="AZ10" t="str">
            <v>POLE</v>
          </cell>
          <cell r="BA10">
            <v>23</v>
          </cell>
          <cell r="BB10">
            <v>8</v>
          </cell>
          <cell r="BC10">
            <v>3</v>
          </cell>
        </row>
        <row r="11">
          <cell r="B11">
            <v>123526109</v>
          </cell>
          <cell r="C11" t="str">
            <v>TBG GROUP</v>
          </cell>
          <cell r="D11" t="str">
            <v>TBG</v>
          </cell>
          <cell r="E11" t="str">
            <v>JAWA</v>
          </cell>
          <cell r="F11" t="str">
            <v>JAWA BARAT</v>
          </cell>
          <cell r="G11" t="str">
            <v>KOTA BEKASI</v>
          </cell>
          <cell r="H11" t="str">
            <v>BEKASI SELATAN</v>
          </cell>
          <cell r="I11" t="str">
            <v>GREEN FIELD</v>
          </cell>
          <cell r="J11" t="str">
            <v>POLE</v>
          </cell>
          <cell r="K11">
            <v>-6.2434899999999987</v>
          </cell>
          <cell r="L11">
            <v>106.99664</v>
          </cell>
          <cell r="M11" t="str">
            <v>Ready for Integration (RFI)</v>
          </cell>
          <cell r="N11" t="str">
            <v>Site 101 &amp; Site 106</v>
          </cell>
          <cell r="O11" t="str">
            <v>Plan/Proses Relokasi</v>
          </cell>
          <cell r="P11" t="str">
            <v>proses relokasi, hunting kandidat</v>
          </cell>
          <cell r="Q11">
            <v>46173</v>
          </cell>
          <cell r="R11">
            <v>2026</v>
          </cell>
          <cell r="S11" t="str">
            <v>90 Days</v>
          </cell>
          <cell r="T11" t="str">
            <v>On process Relokasi</v>
          </cell>
          <cell r="U11" t="str">
            <v>On process Relokasi</v>
          </cell>
          <cell r="V11" t="str">
            <v>On process Relokasi</v>
          </cell>
          <cell r="W11" t="str">
            <v>OK</v>
          </cell>
          <cell r="Z11" t="str">
            <v>TSEL</v>
          </cell>
          <cell r="AA11">
            <v>45929</v>
          </cell>
          <cell r="AB11">
            <v>2025</v>
          </cell>
          <cell r="AC11" t="str">
            <v>SERSANIDRIS</v>
          </cell>
          <cell r="AD11" t="str">
            <v>GREEN FIELD</v>
          </cell>
          <cell r="AE11" t="str">
            <v>MONO_POLE</v>
          </cell>
          <cell r="AF11">
            <v>18</v>
          </cell>
          <cell r="AG11" t="str">
            <v>Rescooping ; Check Koordinat</v>
          </cell>
          <cell r="AJ11" t="str">
            <v>Waiting Konfirmasi koordinat</v>
          </cell>
          <cell r="AM11" t="str">
            <v>Hold</v>
          </cell>
          <cell r="AO11">
            <v>1283711001</v>
          </cell>
          <cell r="AP11" t="str">
            <v>SERSANIDRIS - RELOC</v>
          </cell>
          <cell r="AQ11">
            <v>-6.2435499999999999</v>
          </cell>
          <cell r="AR11">
            <v>106.9967</v>
          </cell>
          <cell r="AS11" t="str">
            <v>TBG GROUP</v>
          </cell>
          <cell r="AT11" t="str">
            <v>TBG</v>
          </cell>
          <cell r="AU11" t="str">
            <v>JAWA</v>
          </cell>
          <cell r="AV11" t="str">
            <v>JAWA BARAT</v>
          </cell>
          <cell r="AW11" t="str">
            <v>KOTA BEKASI</v>
          </cell>
          <cell r="AX11" t="str">
            <v>BEKASI SELATAN</v>
          </cell>
          <cell r="AY11" t="str">
            <v>GREEN FIELD</v>
          </cell>
          <cell r="BA11">
            <v>32</v>
          </cell>
          <cell r="BB11" t="e">
            <v>#N/A</v>
          </cell>
          <cell r="BC11" t="e">
            <v>#N/A</v>
          </cell>
        </row>
        <row r="12">
          <cell r="B12">
            <v>1101081026</v>
          </cell>
          <cell r="C12" t="str">
            <v>TBG GROUP</v>
          </cell>
          <cell r="D12" t="str">
            <v>TBG</v>
          </cell>
          <cell r="E12" t="str">
            <v>JAWA</v>
          </cell>
          <cell r="F12" t="str">
            <v>DKI JAKARTA</v>
          </cell>
          <cell r="G12" t="str">
            <v>KOTA ADM. JAKARTA TIMUR</v>
          </cell>
          <cell r="H12" t="str">
            <v>DUREN SAWIT</v>
          </cell>
          <cell r="I12" t="str">
            <v>GREEN FIELD</v>
          </cell>
          <cell r="J12" t="str">
            <v>POLE</v>
          </cell>
          <cell r="K12">
            <v>-6.217979999999999</v>
          </cell>
          <cell r="L12">
            <v>106.94055</v>
          </cell>
          <cell r="M12" t="str">
            <v>Ready for Integration (RFI)</v>
          </cell>
          <cell r="N12" t="str">
            <v>Site 106 Only</v>
          </cell>
          <cell r="O12" t="str">
            <v>Oke - tidak ada issue</v>
          </cell>
          <cell r="P12" t="str">
            <v>Tidak ada isue</v>
          </cell>
          <cell r="S12" t="str">
            <v>30 Days</v>
          </cell>
          <cell r="T12" t="str">
            <v>Height not Available (&lt;21M)</v>
          </cell>
          <cell r="U12" t="str">
            <v>No Need STR @16m</v>
          </cell>
          <cell r="V12" t="str">
            <v>16m</v>
          </cell>
          <cell r="W12" t="str">
            <v>NOK</v>
          </cell>
          <cell r="Z12" t="str">
            <v>XL</v>
          </cell>
          <cell r="AA12">
            <v>48736</v>
          </cell>
          <cell r="AB12">
            <v>2033</v>
          </cell>
          <cell r="AC12" t="str">
            <v>PONDOK KOPI II</v>
          </cell>
          <cell r="AD12" t="str">
            <v>GREEN FIELD</v>
          </cell>
          <cell r="AE12" t="str">
            <v>MONO_POLE</v>
          </cell>
          <cell r="AF12">
            <v>20</v>
          </cell>
          <cell r="AM12" t="str">
            <v>Drop</v>
          </cell>
          <cell r="AO12">
            <v>1101081026</v>
          </cell>
          <cell r="AP12" t="str">
            <v>PONDOK KOPI II</v>
          </cell>
          <cell r="AQ12">
            <v>-6.217979999999999</v>
          </cell>
          <cell r="AR12">
            <v>106.94055</v>
          </cell>
          <cell r="AS12" t="str">
            <v>TBG GROUP</v>
          </cell>
          <cell r="AT12" t="str">
            <v>TBG</v>
          </cell>
          <cell r="AU12" t="str">
            <v>JAWA</v>
          </cell>
          <cell r="AV12" t="str">
            <v>DKI JAKARTA</v>
          </cell>
          <cell r="AW12" t="str">
            <v>KOTA ADM. JAKARTA TIMUR</v>
          </cell>
          <cell r="AX12" t="str">
            <v>DUREN SAWIT</v>
          </cell>
          <cell r="AY12" t="str">
            <v>GREEN FIELD</v>
          </cell>
          <cell r="AZ12" t="str">
            <v>POLE</v>
          </cell>
          <cell r="BA12">
            <v>20</v>
          </cell>
          <cell r="BB12">
            <v>0</v>
          </cell>
          <cell r="BC12">
            <v>0</v>
          </cell>
        </row>
        <row r="13">
          <cell r="B13">
            <v>1133492001</v>
          </cell>
          <cell r="C13" t="str">
            <v>TBG GROUP</v>
          </cell>
          <cell r="D13" t="str">
            <v>TBG</v>
          </cell>
          <cell r="E13" t="str">
            <v>JAWA</v>
          </cell>
          <cell r="F13" t="str">
            <v>DKI JAKARTA</v>
          </cell>
          <cell r="G13" t="str">
            <v>KOTA ADM. JAKARTA TIMUR</v>
          </cell>
          <cell r="H13" t="str">
            <v>CAKUNG</v>
          </cell>
          <cell r="I13" t="str">
            <v>ROOF TOP</v>
          </cell>
          <cell r="J13" t="str">
            <v>POLE</v>
          </cell>
          <cell r="K13">
            <v>-6.2134499999999981</v>
          </cell>
          <cell r="L13">
            <v>106.93733</v>
          </cell>
          <cell r="M13" t="str">
            <v>Ready for Integration (RFI)</v>
          </cell>
          <cell r="N13" t="str">
            <v>Site 106 Only</v>
          </cell>
          <cell r="O13" t="str">
            <v>Berpotensi terjadi Commcase</v>
          </cell>
          <cell r="P13" t="str">
            <v>Tidak berpotensi hard comcase</v>
          </cell>
          <cell r="Q13" t="str">
            <v>2026-02-28 00:00:00</v>
          </cell>
          <cell r="R13">
            <v>2026</v>
          </cell>
          <cell r="S13" t="str">
            <v>60 Days</v>
          </cell>
          <cell r="T13" t="str">
            <v>20M</v>
          </cell>
          <cell r="U13" t="str">
            <v>Need STR No Paralel</v>
          </cell>
          <cell r="V13" t="str">
            <v>20m</v>
          </cell>
          <cell r="W13" t="str">
            <v>NOK</v>
          </cell>
          <cell r="Z13" t="str">
            <v>SMART</v>
          </cell>
          <cell r="AA13">
            <v>47907</v>
          </cell>
          <cell r="AB13">
            <v>2031</v>
          </cell>
          <cell r="AC13" t="str">
            <v>IBS PISANGAN</v>
          </cell>
          <cell r="AD13" t="str">
            <v>ROOF TOP</v>
          </cell>
          <cell r="AE13" t="str">
            <v>POLE</v>
          </cell>
          <cell r="AF13">
            <v>22.8</v>
          </cell>
          <cell r="AM13" t="str">
            <v>Drop</v>
          </cell>
          <cell r="AO13">
            <v>1133492001</v>
          </cell>
          <cell r="AP13" t="str">
            <v>IBS PISANGAN</v>
          </cell>
          <cell r="AQ13">
            <v>-6.2134499999999981</v>
          </cell>
          <cell r="AR13">
            <v>106.93733</v>
          </cell>
          <cell r="AS13" t="str">
            <v>TBG GROUP</v>
          </cell>
          <cell r="AT13" t="str">
            <v>TBG</v>
          </cell>
          <cell r="AU13" t="str">
            <v>JAWA</v>
          </cell>
          <cell r="AV13" t="str">
            <v>DKI JAKARTA</v>
          </cell>
          <cell r="AW13" t="str">
            <v>KOTA ADM. JAKARTA TIMUR</v>
          </cell>
          <cell r="AX13" t="str">
            <v>CAKUNG</v>
          </cell>
          <cell r="AY13" t="str">
            <v>ROOF TOP</v>
          </cell>
          <cell r="AZ13" t="str">
            <v>POLE</v>
          </cell>
          <cell r="BA13">
            <v>22.8</v>
          </cell>
          <cell r="BB13">
            <v>6.8</v>
          </cell>
          <cell r="BC13">
            <v>4</v>
          </cell>
        </row>
        <row r="14">
          <cell r="B14">
            <v>111001109</v>
          </cell>
          <cell r="C14" t="str">
            <v>TBG GROUP</v>
          </cell>
          <cell r="D14" t="str">
            <v>TBG</v>
          </cell>
          <cell r="E14" t="str">
            <v>JAWA</v>
          </cell>
          <cell r="F14" t="str">
            <v>DKI JAKARTA</v>
          </cell>
          <cell r="G14" t="str">
            <v>KOTA ADM. JAKARTA TIMUR</v>
          </cell>
          <cell r="H14" t="str">
            <v>CAKUNG</v>
          </cell>
          <cell r="I14" t="str">
            <v>ROOF TOP</v>
          </cell>
          <cell r="J14" t="str">
            <v>POLE</v>
          </cell>
          <cell r="K14">
            <v>-6.2116400000000001</v>
          </cell>
          <cell r="L14">
            <v>106.90161999999999</v>
          </cell>
          <cell r="M14" t="str">
            <v>Ready for Integration (RFI)</v>
          </cell>
          <cell r="N14" t="str">
            <v>Site 106 Only</v>
          </cell>
          <cell r="O14" t="str">
            <v>Oke - tidak ada issue</v>
          </cell>
          <cell r="P14" t="str">
            <v>Tidak ada isue</v>
          </cell>
          <cell r="Q14" t="str">
            <v>2036-06-02 00:00:00</v>
          </cell>
          <cell r="R14">
            <v>2036</v>
          </cell>
          <cell r="S14" t="str">
            <v>30 Days</v>
          </cell>
          <cell r="T14" t="str">
            <v>20M</v>
          </cell>
          <cell r="U14" t="str">
            <v>No Need STR</v>
          </cell>
          <cell r="V14" t="str">
            <v>20m</v>
          </cell>
          <cell r="W14" t="str">
            <v>OK</v>
          </cell>
          <cell r="AC14" t="str">
            <v>TANAH KOJA 1</v>
          </cell>
          <cell r="AD14" t="str">
            <v>ROOF TOP</v>
          </cell>
          <cell r="AE14" t="str">
            <v>POLE</v>
          </cell>
          <cell r="AF14">
            <v>26.08</v>
          </cell>
          <cell r="AM14" t="str">
            <v>Go</v>
          </cell>
          <cell r="AO14">
            <v>111001109</v>
          </cell>
          <cell r="AP14" t="str">
            <v>TANAH KOJA 1</v>
          </cell>
          <cell r="AQ14">
            <v>-6.2116400000000001</v>
          </cell>
          <cell r="AR14">
            <v>106.90161999999999</v>
          </cell>
          <cell r="AS14" t="str">
            <v>TBG GROUP</v>
          </cell>
          <cell r="AT14" t="str">
            <v>TBG</v>
          </cell>
          <cell r="AU14" t="str">
            <v>JAWA</v>
          </cell>
          <cell r="AV14" t="str">
            <v>DKI JAKARTA</v>
          </cell>
          <cell r="AW14" t="str">
            <v>KOTA ADM. JAKARTA TIMUR</v>
          </cell>
          <cell r="AX14" t="str">
            <v>CAKUNG</v>
          </cell>
          <cell r="AY14" t="str">
            <v>ROOF TOP</v>
          </cell>
          <cell r="AZ14" t="str">
            <v>POLE</v>
          </cell>
          <cell r="BA14">
            <v>26.08</v>
          </cell>
          <cell r="BB14">
            <v>9.58</v>
          </cell>
          <cell r="BC14">
            <v>0</v>
          </cell>
          <cell r="BD14" t="str">
            <v>Go</v>
          </cell>
        </row>
        <row r="15">
          <cell r="B15">
            <v>1133052004</v>
          </cell>
          <cell r="C15" t="str">
            <v>TBG GROUP</v>
          </cell>
          <cell r="D15" t="str">
            <v>TBG</v>
          </cell>
          <cell r="E15" t="str">
            <v>JAWA</v>
          </cell>
          <cell r="F15" t="str">
            <v>DKI JAKARTA</v>
          </cell>
          <cell r="G15" t="str">
            <v>KOTA ADM. JAKARTA TIMUR</v>
          </cell>
          <cell r="H15" t="str">
            <v>DUREN SAWIT</v>
          </cell>
          <cell r="I15" t="str">
            <v>ROOF TOP</v>
          </cell>
          <cell r="J15" t="str">
            <v>POLE</v>
          </cell>
          <cell r="K15">
            <v>-6.2155699999999996</v>
          </cell>
          <cell r="L15">
            <v>106.90009000000001</v>
          </cell>
          <cell r="M15" t="str">
            <v>Ready for Integration (RFI)</v>
          </cell>
          <cell r="N15" t="str">
            <v>Site 106 Only</v>
          </cell>
          <cell r="O15" t="str">
            <v>Oke - tidak ada issue</v>
          </cell>
          <cell r="P15" t="str">
            <v>Tidak ada isue</v>
          </cell>
          <cell r="Q15" t="str">
            <v>2027-02-13 00:00:00</v>
          </cell>
          <cell r="R15">
            <v>2027</v>
          </cell>
          <cell r="S15" t="str">
            <v>60 Days</v>
          </cell>
          <cell r="T15" t="str">
            <v>Height not Available (&lt;21M)</v>
          </cell>
          <cell r="U15" t="str">
            <v>Need STR No Paralel (Add Pole 9M - 20M)</v>
          </cell>
          <cell r="V15" t="str">
            <v>20m</v>
          </cell>
          <cell r="W15" t="str">
            <v>NOK</v>
          </cell>
          <cell r="AC15" t="str">
            <v>IBS RUKO KLENDER</v>
          </cell>
          <cell r="AD15" t="str">
            <v>ROOF TOP</v>
          </cell>
          <cell r="AE15" t="str">
            <v>POLE</v>
          </cell>
          <cell r="AF15">
            <v>20.100000000000001</v>
          </cell>
          <cell r="AM15" t="str">
            <v>Drop</v>
          </cell>
          <cell r="AO15">
            <v>1133052004</v>
          </cell>
          <cell r="AP15" t="str">
            <v>IBS RUKO KLENDER</v>
          </cell>
          <cell r="AQ15">
            <v>-6.2155699999999996</v>
          </cell>
          <cell r="AR15">
            <v>106.90009000000001</v>
          </cell>
          <cell r="AS15" t="str">
            <v>TBG GROUP</v>
          </cell>
          <cell r="AT15" t="str">
            <v>TBG</v>
          </cell>
          <cell r="AU15" t="str">
            <v>JAWA</v>
          </cell>
          <cell r="AV15" t="str">
            <v>DKI JAKARTA</v>
          </cell>
          <cell r="AW15" t="str">
            <v>KOTA ADM. JAKARTA TIMUR</v>
          </cell>
          <cell r="AX15" t="str">
            <v>DUREN SAWIT</v>
          </cell>
          <cell r="AY15" t="str">
            <v>ROOF TOP</v>
          </cell>
          <cell r="AZ15" t="str">
            <v>POLE</v>
          </cell>
          <cell r="BA15">
            <v>20.100000000000001</v>
          </cell>
          <cell r="BB15">
            <v>11.1</v>
          </cell>
          <cell r="BC15">
            <v>0</v>
          </cell>
        </row>
        <row r="16">
          <cell r="B16">
            <v>111415121</v>
          </cell>
          <cell r="C16" t="str">
            <v>TBG GROUP</v>
          </cell>
          <cell r="D16" t="str">
            <v>TBG</v>
          </cell>
          <cell r="E16" t="str">
            <v>JAWA</v>
          </cell>
          <cell r="F16" t="str">
            <v>DKI JAKARTA</v>
          </cell>
          <cell r="G16" t="str">
            <v>KOTA ADM. JAKARTA TIMUR</v>
          </cell>
          <cell r="H16" t="str">
            <v>JATINEGARA</v>
          </cell>
          <cell r="I16" t="str">
            <v>GREEN FIELD</v>
          </cell>
          <cell r="J16" t="str">
            <v>POLE</v>
          </cell>
          <cell r="K16">
            <v>-6.2150699999999999</v>
          </cell>
          <cell r="L16">
            <v>106.89577</v>
          </cell>
          <cell r="M16" t="str">
            <v>Ready for Integration (RFI)</v>
          </cell>
          <cell r="N16" t="str">
            <v>Site 106 Only</v>
          </cell>
          <cell r="O16" t="str">
            <v>Oke - tidak ada issue</v>
          </cell>
          <cell r="P16" t="str">
            <v>Tidak ada isue</v>
          </cell>
          <cell r="Q16" t="str">
            <v>2034-10-23 00:00:00</v>
          </cell>
          <cell r="R16">
            <v>2034</v>
          </cell>
          <cell r="S16" t="str">
            <v>30 Days</v>
          </cell>
          <cell r="T16" t="str">
            <v>Height not Available (&lt;21M)</v>
          </cell>
          <cell r="U16" t="str">
            <v>No Need STR @17m</v>
          </cell>
          <cell r="V16" t="str">
            <v>17m</v>
          </cell>
          <cell r="W16" t="str">
            <v>NOK</v>
          </cell>
          <cell r="AC16" t="str">
            <v>CIPINANG ILIR MC-T-GF</v>
          </cell>
          <cell r="AD16" t="str">
            <v>GREEN FIELD</v>
          </cell>
          <cell r="AE16" t="str">
            <v>POLE</v>
          </cell>
          <cell r="AF16">
            <v>17</v>
          </cell>
          <cell r="AM16" t="str">
            <v>Drop</v>
          </cell>
          <cell r="AO16">
            <v>111415121</v>
          </cell>
          <cell r="AP16" t="str">
            <v>CIPINANG ILIR MC-T-GF</v>
          </cell>
          <cell r="AQ16">
            <v>-6.2150699999999999</v>
          </cell>
          <cell r="AR16">
            <v>106.89577</v>
          </cell>
          <cell r="AS16" t="str">
            <v>TBG GROUP</v>
          </cell>
          <cell r="AT16" t="str">
            <v>TBG</v>
          </cell>
          <cell r="AU16" t="str">
            <v>JAWA</v>
          </cell>
          <cell r="AV16" t="str">
            <v>DKI JAKARTA</v>
          </cell>
          <cell r="AW16" t="str">
            <v>KOTA ADM. JAKARTA TIMUR</v>
          </cell>
          <cell r="AX16" t="str">
            <v>JATINEGARA</v>
          </cell>
          <cell r="AY16" t="str">
            <v>GREEN FIELD</v>
          </cell>
          <cell r="AZ16" t="str">
            <v>POLE</v>
          </cell>
          <cell r="BA16">
            <v>17</v>
          </cell>
          <cell r="BB16">
            <v>0</v>
          </cell>
          <cell r="BC16">
            <v>0</v>
          </cell>
        </row>
        <row r="17">
          <cell r="B17">
            <v>1442382001</v>
          </cell>
          <cell r="C17" t="str">
            <v>TBG GROUP</v>
          </cell>
          <cell r="D17" t="str">
            <v>TBG</v>
          </cell>
          <cell r="E17" t="str">
            <v>JAWA</v>
          </cell>
          <cell r="F17" t="str">
            <v>JAWA TENGAH</v>
          </cell>
          <cell r="G17" t="str">
            <v>KOTA SURAKARTA</v>
          </cell>
          <cell r="H17" t="str">
            <v>JEBRES</v>
          </cell>
          <cell r="I17" t="str">
            <v>GREEN FIELD</v>
          </cell>
          <cell r="J17" t="str">
            <v>SST</v>
          </cell>
          <cell r="K17">
            <v>-7.5688399999999998</v>
          </cell>
          <cell r="L17">
            <v>110.84810777778</v>
          </cell>
          <cell r="M17" t="str">
            <v>Ready for Integration (RFI)</v>
          </cell>
          <cell r="N17" t="str">
            <v>Site 101 &amp; Site 106</v>
          </cell>
          <cell r="O17" t="str">
            <v>Pernah terjadi commcase</v>
          </cell>
          <cell r="P17" t="str">
            <v>kompensasi lingkungan</v>
          </cell>
          <cell r="Q17" t="str">
            <v>2028-01-29 00:00:00</v>
          </cell>
          <cell r="R17">
            <v>2028</v>
          </cell>
          <cell r="S17" t="str">
            <v>30 Days</v>
          </cell>
          <cell r="T17" t="str">
            <v>20M</v>
          </cell>
          <cell r="U17" t="str">
            <v>No need STR</v>
          </cell>
          <cell r="V17" t="str">
            <v>20m</v>
          </cell>
          <cell r="W17" t="str">
            <v>OK</v>
          </cell>
          <cell r="AC17" t="str">
            <v>IBS SOLO EAST</v>
          </cell>
          <cell r="AD17" t="str">
            <v>GREEN FIELD</v>
          </cell>
          <cell r="AE17" t="str">
            <v>SST</v>
          </cell>
          <cell r="AF17">
            <v>72</v>
          </cell>
          <cell r="AM17" t="str">
            <v>Go</v>
          </cell>
          <cell r="AO17">
            <v>1442382001</v>
          </cell>
          <cell r="AP17" t="str">
            <v>IBS SOLO EAST</v>
          </cell>
          <cell r="AQ17">
            <v>-7.5688399999999998</v>
          </cell>
          <cell r="AR17">
            <v>110.84810777778</v>
          </cell>
          <cell r="AS17" t="str">
            <v>TBG GROUP</v>
          </cell>
          <cell r="AT17" t="str">
            <v>TBG</v>
          </cell>
          <cell r="AU17" t="str">
            <v>JAWA</v>
          </cell>
          <cell r="AV17" t="str">
            <v>JAWA TENGAH</v>
          </cell>
          <cell r="AW17" t="str">
            <v>KOTA SURAKARTA</v>
          </cell>
          <cell r="AX17" t="str">
            <v>JEBRES</v>
          </cell>
          <cell r="AY17" t="str">
            <v>GREEN FIELD</v>
          </cell>
          <cell r="AZ17" t="str">
            <v>SST</v>
          </cell>
          <cell r="BA17">
            <v>72</v>
          </cell>
          <cell r="BB17">
            <v>0</v>
          </cell>
          <cell r="BC17">
            <v>0</v>
          </cell>
          <cell r="BD17" t="str">
            <v>Go</v>
          </cell>
        </row>
        <row r="18">
          <cell r="B18">
            <v>1440762003</v>
          </cell>
          <cell r="C18" t="str">
            <v>TBG GROUP</v>
          </cell>
          <cell r="D18" t="str">
            <v>TBG</v>
          </cell>
          <cell r="E18" t="str">
            <v>JAWA</v>
          </cell>
          <cell r="F18" t="str">
            <v>JAWA TENGAH</v>
          </cell>
          <cell r="G18" t="str">
            <v>KOTA SURAKARTA</v>
          </cell>
          <cell r="H18" t="str">
            <v>LAWEYAN</v>
          </cell>
          <cell r="I18" t="str">
            <v>ROOF TOP</v>
          </cell>
          <cell r="J18" t="str">
            <v>POLE</v>
          </cell>
          <cell r="K18">
            <v>-7.5641400000000001</v>
          </cell>
          <cell r="L18">
            <v>110.79979</v>
          </cell>
          <cell r="M18" t="str">
            <v>Ready for Integration (RFI)</v>
          </cell>
          <cell r="N18" t="str">
            <v>Site 101 &amp; Site 106</v>
          </cell>
          <cell r="O18" t="str">
            <v>Berpotensi terjadi Commcase</v>
          </cell>
          <cell r="P18" t="str">
            <v>Tidak berpotensi hard comcase</v>
          </cell>
          <cell r="Q18" t="str">
            <v>2036-12-10 00:00:00</v>
          </cell>
          <cell r="R18">
            <v>2036</v>
          </cell>
          <cell r="S18" t="str">
            <v>30 Days</v>
          </cell>
          <cell r="T18" t="str">
            <v>20M</v>
          </cell>
          <cell r="U18" t="str">
            <v>NO Need STR</v>
          </cell>
          <cell r="V18" t="str">
            <v>20m</v>
          </cell>
          <cell r="W18" t="str">
            <v>OK</v>
          </cell>
          <cell r="AC18" t="str">
            <v>IBS LAWEYAN</v>
          </cell>
          <cell r="AD18" t="str">
            <v>ROOF TOP</v>
          </cell>
          <cell r="AE18" t="str">
            <v>POLE</v>
          </cell>
          <cell r="AF18">
            <v>22</v>
          </cell>
          <cell r="AM18" t="str">
            <v>Go</v>
          </cell>
          <cell r="AO18">
            <v>1440762003</v>
          </cell>
          <cell r="AP18" t="str">
            <v>IBS LAWEYAN</v>
          </cell>
          <cell r="AQ18">
            <v>-7.5641400000000001</v>
          </cell>
          <cell r="AR18">
            <v>110.79979</v>
          </cell>
          <cell r="AS18" t="str">
            <v>TBG GROUP</v>
          </cell>
          <cell r="AT18" t="str">
            <v>TBG</v>
          </cell>
          <cell r="AU18" t="str">
            <v>JAWA</v>
          </cell>
          <cell r="AV18" t="str">
            <v>JAWA TENGAH</v>
          </cell>
          <cell r="AW18" t="str">
            <v>KOTA SURAKARTA</v>
          </cell>
          <cell r="AX18" t="str">
            <v>LAWEYAN</v>
          </cell>
          <cell r="AY18" t="str">
            <v>ROOF TOP</v>
          </cell>
          <cell r="AZ18" t="str">
            <v>POLE</v>
          </cell>
          <cell r="BA18">
            <v>22</v>
          </cell>
          <cell r="BB18">
            <v>7</v>
          </cell>
          <cell r="BC18">
            <v>0</v>
          </cell>
          <cell r="BD18" t="str">
            <v>Go</v>
          </cell>
        </row>
        <row r="19">
          <cell r="B19">
            <v>111011121</v>
          </cell>
          <cell r="C19" t="str">
            <v>TBG GROUP</v>
          </cell>
          <cell r="D19" t="str">
            <v>TBG</v>
          </cell>
          <cell r="E19" t="str">
            <v>JAWA</v>
          </cell>
          <cell r="F19" t="str">
            <v>DKI JAKARTA</v>
          </cell>
          <cell r="G19" t="str">
            <v>KOTA ADM. JAKARTA SELATAN</v>
          </cell>
          <cell r="H19" t="str">
            <v>TEBET</v>
          </cell>
          <cell r="I19" t="str">
            <v>GREEN FIELD</v>
          </cell>
          <cell r="J19" t="str">
            <v>POLE</v>
          </cell>
          <cell r="K19">
            <v>-6.2314600000000002</v>
          </cell>
          <cell r="L19">
            <v>106.86317</v>
          </cell>
          <cell r="M19" t="str">
            <v>Ready for Integration (RFI)</v>
          </cell>
          <cell r="N19" t="str">
            <v>Site 106 Only</v>
          </cell>
          <cell r="O19" t="str">
            <v>Oke - tidak ada issue</v>
          </cell>
          <cell r="P19" t="str">
            <v>Tidak ada isue</v>
          </cell>
          <cell r="Q19" t="str">
            <v>2034-10-23 00:00:00</v>
          </cell>
          <cell r="R19">
            <v>2034</v>
          </cell>
          <cell r="S19" t="str">
            <v>30 Days</v>
          </cell>
          <cell r="T19" t="str">
            <v>Height not Available (&lt;21M)</v>
          </cell>
          <cell r="U19" t="str">
            <v>No Need STR @18m</v>
          </cell>
          <cell r="V19" t="str">
            <v>18m</v>
          </cell>
          <cell r="W19" t="str">
            <v>NOK</v>
          </cell>
          <cell r="AC19" t="str">
            <v>GUDANG PELURU MC-T-GF</v>
          </cell>
          <cell r="AD19" t="str">
            <v>GREEN FIELD</v>
          </cell>
          <cell r="AE19" t="str">
            <v>POLE</v>
          </cell>
          <cell r="AF19">
            <v>18</v>
          </cell>
          <cell r="AM19" t="str">
            <v>Drop</v>
          </cell>
          <cell r="AO19">
            <v>111011121</v>
          </cell>
          <cell r="AP19" t="str">
            <v>GUDANG PELURU MC-T-GF</v>
          </cell>
          <cell r="AQ19">
            <v>-6.2314600000000002</v>
          </cell>
          <cell r="AR19">
            <v>106.86317</v>
          </cell>
          <cell r="AS19" t="str">
            <v>TBG GROUP</v>
          </cell>
          <cell r="AT19" t="str">
            <v>TBG</v>
          </cell>
          <cell r="AU19" t="str">
            <v>JAWA</v>
          </cell>
          <cell r="AV19" t="str">
            <v>DKI JAKARTA</v>
          </cell>
          <cell r="AW19" t="str">
            <v>KOTA ADM. JAKARTA SELATAN</v>
          </cell>
          <cell r="AX19" t="str">
            <v>TEBET</v>
          </cell>
          <cell r="AY19" t="str">
            <v>GREEN FIELD</v>
          </cell>
          <cell r="AZ19" t="str">
            <v>POLE</v>
          </cell>
          <cell r="BA19">
            <v>18</v>
          </cell>
          <cell r="BB19">
            <v>0</v>
          </cell>
          <cell r="BC19">
            <v>0</v>
          </cell>
        </row>
        <row r="20">
          <cell r="B20">
            <v>111279121</v>
          </cell>
          <cell r="C20" t="str">
            <v>TBG GROUP</v>
          </cell>
          <cell r="D20" t="str">
            <v>TBG</v>
          </cell>
          <cell r="E20" t="str">
            <v>JAWA</v>
          </cell>
          <cell r="F20" t="str">
            <v>DKI JAKARTA</v>
          </cell>
          <cell r="G20" t="str">
            <v>KOTA ADM. JAKARTA SELATAN</v>
          </cell>
          <cell r="H20" t="str">
            <v>TEBET</v>
          </cell>
          <cell r="I20" t="str">
            <v>GREEN FIELD</v>
          </cell>
          <cell r="J20" t="str">
            <v>POLE</v>
          </cell>
          <cell r="K20">
            <v>-6.2223300000000004</v>
          </cell>
          <cell r="L20">
            <v>106.86078999999999</v>
          </cell>
          <cell r="M20" t="str">
            <v>Ready for Integration (RFI)</v>
          </cell>
          <cell r="N20" t="str">
            <v>Site 106 Only</v>
          </cell>
          <cell r="O20" t="str">
            <v>Oke - tidak ada issue</v>
          </cell>
          <cell r="P20" t="str">
            <v>Tidak ada isue</v>
          </cell>
          <cell r="Q20" t="str">
            <v>2034-10-23 00:00:00</v>
          </cell>
          <cell r="R20">
            <v>2034</v>
          </cell>
          <cell r="S20" t="str">
            <v>30 Days</v>
          </cell>
          <cell r="T20" t="str">
            <v>Height not Available (&lt;21M)</v>
          </cell>
          <cell r="U20" t="str">
            <v>No Need STR @18m</v>
          </cell>
          <cell r="V20" t="str">
            <v>18m</v>
          </cell>
          <cell r="W20" t="str">
            <v>NOK</v>
          </cell>
          <cell r="AC20" t="str">
            <v>MELAYU KECIL MC-T-GF</v>
          </cell>
          <cell r="AD20" t="str">
            <v>GREEN FIELD</v>
          </cell>
          <cell r="AE20" t="str">
            <v>MONO_POLE</v>
          </cell>
          <cell r="AF20">
            <v>18</v>
          </cell>
          <cell r="AM20" t="str">
            <v>Drop</v>
          </cell>
          <cell r="AO20">
            <v>111279121</v>
          </cell>
          <cell r="AP20" t="str">
            <v>MELAYU KECIL MC-T-GF</v>
          </cell>
          <cell r="AQ20">
            <v>-6.2223300000000004</v>
          </cell>
          <cell r="AR20">
            <v>106.86078999999999</v>
          </cell>
          <cell r="AS20" t="str">
            <v>TBG GROUP</v>
          </cell>
          <cell r="AT20" t="str">
            <v>TBG</v>
          </cell>
          <cell r="AU20" t="str">
            <v>JAWA</v>
          </cell>
          <cell r="AV20" t="str">
            <v>DKI JAKARTA</v>
          </cell>
          <cell r="AW20" t="str">
            <v>KOTA ADM. JAKARTA SELATAN</v>
          </cell>
          <cell r="AX20" t="str">
            <v>TEBET</v>
          </cell>
          <cell r="AY20" t="str">
            <v>GREEN FIELD</v>
          </cell>
          <cell r="AZ20" t="str">
            <v>POLE</v>
          </cell>
          <cell r="BA20">
            <v>18</v>
          </cell>
          <cell r="BB20">
            <v>0</v>
          </cell>
          <cell r="BC20">
            <v>0</v>
          </cell>
        </row>
        <row r="21">
          <cell r="B21">
            <v>111016121</v>
          </cell>
          <cell r="C21" t="str">
            <v>TBG GROUP</v>
          </cell>
          <cell r="D21" t="str">
            <v>TBG</v>
          </cell>
          <cell r="E21" t="str">
            <v>JAWA</v>
          </cell>
          <cell r="F21" t="str">
            <v>DKI JAKARTA</v>
          </cell>
          <cell r="G21" t="str">
            <v>KOTA ADM. JAKARTA SELATAN</v>
          </cell>
          <cell r="H21" t="str">
            <v>TEBET</v>
          </cell>
          <cell r="I21" t="str">
            <v>GREEN FIELD</v>
          </cell>
          <cell r="J21" t="str">
            <v>POLE</v>
          </cell>
          <cell r="K21">
            <v>-6.2428499999999998</v>
          </cell>
          <cell r="L21">
            <v>106.85966000000001</v>
          </cell>
          <cell r="M21" t="str">
            <v>Ready for Integration (RFI)</v>
          </cell>
          <cell r="N21" t="str">
            <v>Site 106 Only</v>
          </cell>
          <cell r="O21" t="str">
            <v>Oke - tidak ada issue</v>
          </cell>
          <cell r="P21" t="str">
            <v>Tidak ada isue</v>
          </cell>
          <cell r="Q21" t="str">
            <v>2034-10-23 00:00:00</v>
          </cell>
          <cell r="R21">
            <v>2034</v>
          </cell>
          <cell r="S21" t="str">
            <v>30 Days</v>
          </cell>
          <cell r="T21" t="str">
            <v>Height not Available (&lt;21M)</v>
          </cell>
          <cell r="U21" t="str">
            <v>No Need STR @18m</v>
          </cell>
          <cell r="V21" t="str">
            <v>18m</v>
          </cell>
          <cell r="W21" t="str">
            <v>NOK</v>
          </cell>
          <cell r="AC21" t="str">
            <v>KAMPUNG DALAM MC-T-GF</v>
          </cell>
          <cell r="AD21" t="str">
            <v>GREEN FIELD</v>
          </cell>
          <cell r="AE21" t="str">
            <v>MONO_POLE</v>
          </cell>
          <cell r="AF21">
            <v>18</v>
          </cell>
          <cell r="AM21" t="str">
            <v>Drop</v>
          </cell>
          <cell r="AO21">
            <v>111016121</v>
          </cell>
          <cell r="AP21" t="str">
            <v>KAMPUNG DALAM MC-T-GF</v>
          </cell>
          <cell r="AQ21">
            <v>-6.2428499999999998</v>
          </cell>
          <cell r="AR21">
            <v>106.85966000000001</v>
          </cell>
          <cell r="AS21" t="str">
            <v>TBG GROUP</v>
          </cell>
          <cell r="AT21" t="str">
            <v>TBG</v>
          </cell>
          <cell r="AU21" t="str">
            <v>JAWA</v>
          </cell>
          <cell r="AV21" t="str">
            <v>DKI JAKARTA</v>
          </cell>
          <cell r="AW21" t="str">
            <v>KOTA ADM. JAKARTA SELATAN</v>
          </cell>
          <cell r="AX21" t="str">
            <v>TEBET</v>
          </cell>
          <cell r="AY21" t="str">
            <v>GREEN FIELD</v>
          </cell>
          <cell r="AZ21" t="str">
            <v>POLE</v>
          </cell>
          <cell r="BA21">
            <v>18</v>
          </cell>
          <cell r="BB21">
            <v>0</v>
          </cell>
          <cell r="BC21">
            <v>0</v>
          </cell>
        </row>
        <row r="22">
          <cell r="B22">
            <v>111150121</v>
          </cell>
          <cell r="C22" t="str">
            <v>TBG GROUP</v>
          </cell>
          <cell r="D22" t="str">
            <v>TBG</v>
          </cell>
          <cell r="E22" t="str">
            <v>JAWA</v>
          </cell>
          <cell r="F22" t="str">
            <v>DKI JAKARTA</v>
          </cell>
          <cell r="G22" t="str">
            <v>KOTA ADM. JAKARTA SELATAN</v>
          </cell>
          <cell r="H22" t="str">
            <v>PANCORAN</v>
          </cell>
          <cell r="I22" t="str">
            <v>GREEN FIELD</v>
          </cell>
          <cell r="J22" t="str">
            <v>POLE</v>
          </cell>
          <cell r="K22">
            <v>-6.2512699999999999</v>
          </cell>
          <cell r="L22">
            <v>106.85673</v>
          </cell>
          <cell r="M22" t="str">
            <v>Ready for Integration (RFI)</v>
          </cell>
          <cell r="N22" t="str">
            <v>Site 106 Only</v>
          </cell>
          <cell r="O22" t="str">
            <v>Oke - tidak ada issue</v>
          </cell>
          <cell r="P22" t="str">
            <v>Tidak ada isue</v>
          </cell>
          <cell r="Q22" t="str">
            <v>2034-10-23 00:00:00</v>
          </cell>
          <cell r="R22">
            <v>2034</v>
          </cell>
          <cell r="S22" t="str">
            <v>30 Days</v>
          </cell>
          <cell r="T22" t="str">
            <v>Height not Available (&lt;21M)</v>
          </cell>
          <cell r="U22" t="str">
            <v>No Need STR @16m</v>
          </cell>
          <cell r="V22" t="str">
            <v>16m</v>
          </cell>
          <cell r="W22" t="str">
            <v>OK</v>
          </cell>
          <cell r="AC22" t="str">
            <v>RAJAWALI BARAT MC-T-GF</v>
          </cell>
          <cell r="AD22" t="str">
            <v>GREEN FIELD</v>
          </cell>
          <cell r="AE22" t="str">
            <v>MONO_POLE</v>
          </cell>
          <cell r="AF22">
            <v>18</v>
          </cell>
          <cell r="AM22" t="str">
            <v>Go</v>
          </cell>
          <cell r="AO22">
            <v>111150121</v>
          </cell>
          <cell r="AP22" t="str">
            <v>RAJAWALI BARAT MC-T-GF</v>
          </cell>
          <cell r="AQ22">
            <v>-6.2512699999999999</v>
          </cell>
          <cell r="AR22">
            <v>106.85673</v>
          </cell>
          <cell r="AS22" t="str">
            <v>TBG GROUP</v>
          </cell>
          <cell r="AT22" t="str">
            <v>TBG</v>
          </cell>
          <cell r="AU22" t="str">
            <v>JAWA</v>
          </cell>
          <cell r="AV22" t="str">
            <v>DKI JAKARTA</v>
          </cell>
          <cell r="AW22" t="str">
            <v>KOTA ADM. JAKARTA SELATAN</v>
          </cell>
          <cell r="AX22" t="str">
            <v>PANCORAN</v>
          </cell>
          <cell r="AY22" t="str">
            <v>GREEN FIELD</v>
          </cell>
          <cell r="AZ22" t="str">
            <v>POLE</v>
          </cell>
          <cell r="BA22">
            <v>18</v>
          </cell>
          <cell r="BB22">
            <v>0</v>
          </cell>
          <cell r="BC22">
            <v>0</v>
          </cell>
          <cell r="BD22" t="str">
            <v>Go</v>
          </cell>
        </row>
        <row r="23">
          <cell r="B23">
            <v>110919121</v>
          </cell>
          <cell r="C23" t="str">
            <v>TBG GROUP</v>
          </cell>
          <cell r="D23" t="str">
            <v>TBG</v>
          </cell>
          <cell r="E23" t="str">
            <v>JAWA</v>
          </cell>
          <cell r="F23" t="str">
            <v>DKI JAKARTA</v>
          </cell>
          <cell r="G23" t="str">
            <v>KOTA ADM. JAKARTA PUSAT</v>
          </cell>
          <cell r="H23" t="str">
            <v>KEMAYORAN</v>
          </cell>
          <cell r="I23" t="str">
            <v>GREEN FIELD</v>
          </cell>
          <cell r="J23" t="str">
            <v>POLE</v>
          </cell>
          <cell r="K23">
            <v>-6.1608799999999997</v>
          </cell>
          <cell r="L23">
            <v>106.84793999999999</v>
          </cell>
          <cell r="M23" t="str">
            <v>Ready for Integration (RFI)</v>
          </cell>
          <cell r="N23" t="str">
            <v>Site 106 Only</v>
          </cell>
          <cell r="O23" t="str">
            <v>Berpotensi terjadi Commcase</v>
          </cell>
          <cell r="P23" t="str">
            <v>Tidak berpotensi hard comcase</v>
          </cell>
          <cell r="Q23" t="str">
            <v>2034-10-23 00:00:00</v>
          </cell>
          <cell r="R23">
            <v>2034</v>
          </cell>
          <cell r="S23" t="str">
            <v>30 Days</v>
          </cell>
          <cell r="T23" t="str">
            <v>Height not Available (&lt;21M)</v>
          </cell>
          <cell r="U23" t="str">
            <v>No Need STR @16.5m</v>
          </cell>
          <cell r="V23" t="str">
            <v>16.5m</v>
          </cell>
          <cell r="W23" t="str">
            <v>NOK</v>
          </cell>
          <cell r="AC23" t="str">
            <v>GARUDA KEMAYORAN MC-T-GF</v>
          </cell>
          <cell r="AD23" t="str">
            <v>GREEN FIELD</v>
          </cell>
          <cell r="AE23" t="str">
            <v>POLE</v>
          </cell>
          <cell r="AF23">
            <v>16.5</v>
          </cell>
          <cell r="AM23" t="str">
            <v>Drop</v>
          </cell>
          <cell r="AO23">
            <v>110919121</v>
          </cell>
          <cell r="AP23" t="str">
            <v>GARUDA KEMAYORAN MC-T-GF</v>
          </cell>
          <cell r="AQ23">
            <v>-6.1608799999999997</v>
          </cell>
          <cell r="AR23">
            <v>106.84793999999999</v>
          </cell>
          <cell r="AS23" t="str">
            <v>TBG GROUP</v>
          </cell>
          <cell r="AT23" t="str">
            <v>TBG</v>
          </cell>
          <cell r="AU23" t="str">
            <v>JAWA</v>
          </cell>
          <cell r="AV23" t="str">
            <v>DKI JAKARTA</v>
          </cell>
          <cell r="AW23" t="str">
            <v>KOTA ADM. JAKARTA PUSAT</v>
          </cell>
          <cell r="AX23" t="str">
            <v>KEMAYORAN</v>
          </cell>
          <cell r="AY23" t="str">
            <v>GREEN FIELD</v>
          </cell>
          <cell r="AZ23" t="str">
            <v>POLE</v>
          </cell>
          <cell r="BA23">
            <v>16.5</v>
          </cell>
          <cell r="BB23">
            <v>0</v>
          </cell>
          <cell r="BC23">
            <v>0</v>
          </cell>
        </row>
        <row r="24">
          <cell r="B24">
            <v>1133592004</v>
          </cell>
          <cell r="C24" t="str">
            <v>TBG GROUP</v>
          </cell>
          <cell r="D24" t="str">
            <v>TBG</v>
          </cell>
          <cell r="E24" t="str">
            <v>JAWA</v>
          </cell>
          <cell r="F24" t="str">
            <v>DKI JAKARTA</v>
          </cell>
          <cell r="G24" t="str">
            <v>KOTA ADM. JAKARTA PUSAT</v>
          </cell>
          <cell r="H24" t="str">
            <v>SAWAH BESAR</v>
          </cell>
          <cell r="I24" t="str">
            <v>ROOF TOP</v>
          </cell>
          <cell r="J24" t="str">
            <v>POLE</v>
          </cell>
          <cell r="K24">
            <v>-6.1507599999999991</v>
          </cell>
          <cell r="L24">
            <v>106.82903</v>
          </cell>
          <cell r="M24" t="str">
            <v>Ready for Integration (RFI)</v>
          </cell>
          <cell r="N24" t="str">
            <v>Site 101 &amp; Site 106</v>
          </cell>
          <cell r="O24" t="str">
            <v>Berpotensi terjadi Commcase</v>
          </cell>
          <cell r="P24" t="str">
            <v>Tidak berpotensi hard comcase</v>
          </cell>
          <cell r="Q24" t="str">
            <v>2027-04-26 00:00:00</v>
          </cell>
          <cell r="R24">
            <v>2027</v>
          </cell>
          <cell r="S24" t="str">
            <v>60 Days</v>
          </cell>
          <cell r="T24" t="str">
            <v>20M</v>
          </cell>
          <cell r="U24" t="str">
            <v>Need STR No Paralel</v>
          </cell>
          <cell r="V24" t="str">
            <v>20m</v>
          </cell>
          <cell r="W24" t="str">
            <v>NOK</v>
          </cell>
          <cell r="AC24" t="str">
            <v>IBS KARANG ANYAR</v>
          </cell>
          <cell r="AD24" t="str">
            <v>ROOF TOP</v>
          </cell>
          <cell r="AE24" t="str">
            <v>POLE</v>
          </cell>
          <cell r="AF24">
            <v>23.9</v>
          </cell>
          <cell r="AM24" t="str">
            <v>Drop</v>
          </cell>
          <cell r="AO24">
            <v>1133592004</v>
          </cell>
          <cell r="AP24" t="str">
            <v>IBS KARANG ANYAR</v>
          </cell>
          <cell r="AQ24">
            <v>-6.1507599999999991</v>
          </cell>
          <cell r="AR24">
            <v>106.82903</v>
          </cell>
          <cell r="AS24" t="str">
            <v>TBG GROUP</v>
          </cell>
          <cell r="AT24" t="str">
            <v>TBG</v>
          </cell>
          <cell r="AU24" t="str">
            <v>JAWA</v>
          </cell>
          <cell r="AV24" t="str">
            <v>DKI JAKARTA</v>
          </cell>
          <cell r="AW24" t="str">
            <v>KOTA ADM. JAKARTA PUSAT</v>
          </cell>
          <cell r="AX24" t="str">
            <v>SAWAH BESAR</v>
          </cell>
          <cell r="AY24" t="str">
            <v>ROOF TOP</v>
          </cell>
          <cell r="AZ24" t="str">
            <v>POLE</v>
          </cell>
          <cell r="BA24">
            <v>23.9</v>
          </cell>
          <cell r="BB24">
            <v>14.9</v>
          </cell>
          <cell r="BC24">
            <v>0</v>
          </cell>
        </row>
        <row r="25">
          <cell r="B25">
            <v>121800104</v>
          </cell>
          <cell r="C25" t="str">
            <v>TBG GROUP</v>
          </cell>
          <cell r="D25" t="str">
            <v>TBG</v>
          </cell>
          <cell r="E25" t="str">
            <v>JAWA</v>
          </cell>
          <cell r="F25" t="str">
            <v>JAWA BARAT</v>
          </cell>
          <cell r="G25" t="str">
            <v>KOTA DEPOK</v>
          </cell>
          <cell r="H25" t="str">
            <v>BEJI</v>
          </cell>
          <cell r="I25" t="str">
            <v>GREEN FIELD</v>
          </cell>
          <cell r="J25" t="str">
            <v>SST</v>
          </cell>
          <cell r="K25">
            <v>-6.3891699999999982</v>
          </cell>
          <cell r="L25">
            <v>106.82494</v>
          </cell>
          <cell r="M25" t="str">
            <v>Ready for Integration (RFI)</v>
          </cell>
          <cell r="N25" t="str">
            <v>Site 101 &amp; Site 106</v>
          </cell>
          <cell r="O25" t="str">
            <v>Oke - tidak ada issue</v>
          </cell>
          <cell r="P25" t="str">
            <v>Tidak ada isue</v>
          </cell>
          <cell r="Q25" t="str">
            <v>2028-06-06 00:00:00</v>
          </cell>
          <cell r="R25">
            <v>2028</v>
          </cell>
          <cell r="S25" t="str">
            <v>30 Days</v>
          </cell>
          <cell r="T25" t="str">
            <v>20M</v>
          </cell>
          <cell r="U25" t="str">
            <v>No Need STR</v>
          </cell>
          <cell r="V25" t="str">
            <v>20m</v>
          </cell>
          <cell r="W25" t="str">
            <v>NOK</v>
          </cell>
          <cell r="AC25" t="str">
            <v>AR HAKIM RELOC</v>
          </cell>
          <cell r="AD25" t="str">
            <v>GREEN FIELD</v>
          </cell>
          <cell r="AE25" t="str">
            <v>SST</v>
          </cell>
          <cell r="AF25">
            <v>42</v>
          </cell>
          <cell r="AM25" t="str">
            <v>Drop</v>
          </cell>
          <cell r="AO25">
            <v>121800104</v>
          </cell>
          <cell r="AP25" t="str">
            <v>AR HAKIM RELOC</v>
          </cell>
          <cell r="AQ25">
            <v>-6.3891699999999982</v>
          </cell>
          <cell r="AR25">
            <v>106.82494</v>
          </cell>
          <cell r="AS25" t="str">
            <v>TBG GROUP</v>
          </cell>
          <cell r="AT25" t="str">
            <v>TBG</v>
          </cell>
          <cell r="AU25" t="str">
            <v>JAWA</v>
          </cell>
          <cell r="AV25" t="str">
            <v>JAWA BARAT</v>
          </cell>
          <cell r="AW25" t="str">
            <v>KOTA DEPOK</v>
          </cell>
          <cell r="AX25" t="str">
            <v>BEJI</v>
          </cell>
          <cell r="AY25" t="str">
            <v>GREEN FIELD</v>
          </cell>
          <cell r="AZ25" t="str">
            <v>SST</v>
          </cell>
          <cell r="BA25">
            <v>42</v>
          </cell>
          <cell r="BB25">
            <v>0</v>
          </cell>
          <cell r="BC25">
            <v>0</v>
          </cell>
        </row>
        <row r="26">
          <cell r="B26">
            <v>1133112004</v>
          </cell>
          <cell r="C26" t="str">
            <v>TBG GROUP</v>
          </cell>
          <cell r="D26" t="str">
            <v>TBG</v>
          </cell>
          <cell r="E26" t="str">
            <v>JAWA</v>
          </cell>
          <cell r="F26" t="str">
            <v>DKI JAKARTA</v>
          </cell>
          <cell r="G26" t="str">
            <v>KOTA ADM. JAKARTA BARAT</v>
          </cell>
          <cell r="H26" t="str">
            <v>TAMAN SARI</v>
          </cell>
          <cell r="I26" t="str">
            <v>ROOF TOP</v>
          </cell>
          <cell r="J26" t="str">
            <v>POLE</v>
          </cell>
          <cell r="K26">
            <v>-6.15238</v>
          </cell>
          <cell r="L26">
            <v>106.82380000000001</v>
          </cell>
          <cell r="M26" t="str">
            <v>Ready for Integration (RFI)</v>
          </cell>
          <cell r="N26" t="str">
            <v>Site 106 Only</v>
          </cell>
          <cell r="O26" t="str">
            <v>Oke - tidak ada issue</v>
          </cell>
          <cell r="P26" t="str">
            <v>Tidak ada isue</v>
          </cell>
          <cell r="Q26" t="str">
            <v>2027-03-07 00:00:00</v>
          </cell>
          <cell r="R26">
            <v>2027</v>
          </cell>
          <cell r="S26" t="str">
            <v>30 Days</v>
          </cell>
          <cell r="T26" t="str">
            <v>20M</v>
          </cell>
          <cell r="U26" t="str">
            <v>No Need STR</v>
          </cell>
          <cell r="V26" t="str">
            <v>20m</v>
          </cell>
          <cell r="W26" t="str">
            <v>OK</v>
          </cell>
          <cell r="AC26" t="str">
            <v>IBS RUMAH KOST/CV TAMAN SARI</v>
          </cell>
          <cell r="AD26" t="str">
            <v>ROOF TOP</v>
          </cell>
          <cell r="AE26" t="str">
            <v>POLE</v>
          </cell>
          <cell r="AF26">
            <v>26.4</v>
          </cell>
          <cell r="AM26" t="str">
            <v>Go</v>
          </cell>
          <cell r="AO26">
            <v>1133112004</v>
          </cell>
          <cell r="AP26" t="str">
            <v>IBS RUMAH KOST/CV TAMAN SARI</v>
          </cell>
          <cell r="AQ26">
            <v>-6.15238</v>
          </cell>
          <cell r="AR26">
            <v>106.82380000000001</v>
          </cell>
          <cell r="AS26" t="str">
            <v>TBG GROUP</v>
          </cell>
          <cell r="AT26" t="str">
            <v>TBG</v>
          </cell>
          <cell r="AU26" t="str">
            <v>JAWA</v>
          </cell>
          <cell r="AV26" t="str">
            <v>DKI JAKARTA</v>
          </cell>
          <cell r="AW26" t="str">
            <v>KOTA ADM. JAKARTA BARAT</v>
          </cell>
          <cell r="AX26" t="str">
            <v>TAMAN SARI</v>
          </cell>
          <cell r="AY26" t="str">
            <v>ROOF TOP</v>
          </cell>
          <cell r="AZ26" t="str">
            <v>POLE</v>
          </cell>
          <cell r="BA26">
            <v>26.4</v>
          </cell>
          <cell r="BB26">
            <v>17.399999999999999</v>
          </cell>
          <cell r="BC26">
            <v>0</v>
          </cell>
          <cell r="BD26" t="str">
            <v>Go</v>
          </cell>
        </row>
        <row r="27">
          <cell r="B27">
            <v>111172121</v>
          </cell>
          <cell r="C27" t="str">
            <v>TBG GROUP</v>
          </cell>
          <cell r="D27" t="str">
            <v>TBG</v>
          </cell>
          <cell r="E27" t="str">
            <v>JAWA</v>
          </cell>
          <cell r="F27" t="str">
            <v>DKI JAKARTA</v>
          </cell>
          <cell r="G27" t="str">
            <v>KOTA ADM. JAKARTA PUSAT</v>
          </cell>
          <cell r="H27" t="str">
            <v>SAWAH BESAR</v>
          </cell>
          <cell r="I27" t="str">
            <v>GREEN FIELD</v>
          </cell>
          <cell r="J27" t="str">
            <v>POLE</v>
          </cell>
          <cell r="K27">
            <v>-6.1403699999999999</v>
          </cell>
          <cell r="L27">
            <v>106.82288</v>
          </cell>
          <cell r="M27" t="str">
            <v>Ready for Integration (RFI)</v>
          </cell>
          <cell r="N27" t="str">
            <v>Site 106 Only</v>
          </cell>
          <cell r="O27" t="str">
            <v>Oke - tidak ada issue</v>
          </cell>
          <cell r="P27" t="str">
            <v>Tidak ada isue</v>
          </cell>
          <cell r="Q27" t="str">
            <v>2034-10-23 00:00:00</v>
          </cell>
          <cell r="R27">
            <v>2034</v>
          </cell>
          <cell r="S27" t="str">
            <v>30 Days</v>
          </cell>
          <cell r="T27" t="str">
            <v>Height not Available (&lt;21M)</v>
          </cell>
          <cell r="U27" t="str">
            <v>No Need STR @16m</v>
          </cell>
          <cell r="V27" t="str">
            <v>16m</v>
          </cell>
          <cell r="W27" t="str">
            <v>OK</v>
          </cell>
          <cell r="AC27" t="str">
            <v>GATEP SAWAH MC-T-GF</v>
          </cell>
          <cell r="AD27" t="str">
            <v>GREEN FIELD</v>
          </cell>
          <cell r="AE27" t="str">
            <v>MONO_POLE</v>
          </cell>
          <cell r="AF27">
            <v>18</v>
          </cell>
          <cell r="AM27" t="str">
            <v>Go</v>
          </cell>
          <cell r="AO27">
            <v>111172121</v>
          </cell>
          <cell r="AP27" t="str">
            <v>GATEP SAWAH MC-T-GF</v>
          </cell>
          <cell r="AQ27">
            <v>-6.1403699999999999</v>
          </cell>
          <cell r="AR27">
            <v>106.82288</v>
          </cell>
          <cell r="AS27" t="str">
            <v>TBG GROUP</v>
          </cell>
          <cell r="AT27" t="str">
            <v>TBG</v>
          </cell>
          <cell r="AU27" t="str">
            <v>JAWA</v>
          </cell>
          <cell r="AV27" t="str">
            <v>DKI JAKARTA</v>
          </cell>
          <cell r="AW27" t="str">
            <v>KOTA ADM. JAKARTA PUSAT</v>
          </cell>
          <cell r="AX27" t="str">
            <v>SAWAH BESAR</v>
          </cell>
          <cell r="AY27" t="str">
            <v>GREEN FIELD</v>
          </cell>
          <cell r="AZ27" t="str">
            <v>POLE</v>
          </cell>
          <cell r="BA27">
            <v>18</v>
          </cell>
          <cell r="BB27">
            <v>0</v>
          </cell>
          <cell r="BC27">
            <v>0</v>
          </cell>
          <cell r="BD27" t="str">
            <v>Go</v>
          </cell>
        </row>
        <row r="28">
          <cell r="B28">
            <v>1133122004</v>
          </cell>
          <cell r="C28" t="str">
            <v>TBG GROUP</v>
          </cell>
          <cell r="D28" t="str">
            <v>TBG</v>
          </cell>
          <cell r="E28" t="str">
            <v>JAWA</v>
          </cell>
          <cell r="F28" t="str">
            <v>DKI JAKARTA</v>
          </cell>
          <cell r="G28" t="str">
            <v>KOTA ADM. JAKARTA BARAT</v>
          </cell>
          <cell r="H28" t="str">
            <v>TAMAN SARI</v>
          </cell>
          <cell r="I28" t="str">
            <v>ROOF TOP</v>
          </cell>
          <cell r="J28" t="str">
            <v>POLE</v>
          </cell>
          <cell r="K28">
            <v>-6.1463299999999998</v>
          </cell>
          <cell r="L28">
            <v>106.82335999999999</v>
          </cell>
          <cell r="M28" t="str">
            <v>Ready for Integration (RFI)</v>
          </cell>
          <cell r="N28" t="str">
            <v>Site 106 Only</v>
          </cell>
          <cell r="O28" t="str">
            <v>Oke - tidak ada issue</v>
          </cell>
          <cell r="P28" t="str">
            <v>Tidak ada isue</v>
          </cell>
          <cell r="Q28" t="str">
            <v>2027-02-28 00:00:00</v>
          </cell>
          <cell r="R28">
            <v>2027</v>
          </cell>
          <cell r="S28" t="str">
            <v>30 Days</v>
          </cell>
          <cell r="T28" t="str">
            <v>Building Height More Than 20M</v>
          </cell>
          <cell r="U28" t="str">
            <v>No need STR @27m</v>
          </cell>
          <cell r="V28" t="str">
            <v>27m</v>
          </cell>
          <cell r="W28" t="str">
            <v>OK</v>
          </cell>
          <cell r="AC28" t="str">
            <v>IBS LOKASARI PLAZA</v>
          </cell>
          <cell r="AD28" t="str">
            <v>ROOF TOP</v>
          </cell>
          <cell r="AE28" t="str">
            <v>POLE</v>
          </cell>
          <cell r="AF28">
            <v>34.700000000000003</v>
          </cell>
          <cell r="AM28" t="str">
            <v>Go</v>
          </cell>
          <cell r="AO28">
            <v>1133122004</v>
          </cell>
          <cell r="AP28" t="str">
            <v>IBS LOKASARI PLAZA</v>
          </cell>
          <cell r="AQ28">
            <v>-6.1463299999999998</v>
          </cell>
          <cell r="AR28">
            <v>106.82335999999999</v>
          </cell>
          <cell r="AS28" t="str">
            <v>TBG GROUP</v>
          </cell>
          <cell r="AT28" t="str">
            <v>TBG</v>
          </cell>
          <cell r="AU28" t="str">
            <v>JAWA</v>
          </cell>
          <cell r="AV28" t="str">
            <v>DKI JAKARTA</v>
          </cell>
          <cell r="AW28" t="str">
            <v>KOTA ADM. JAKARTA BARAT</v>
          </cell>
          <cell r="AX28" t="str">
            <v>TAMAN SARI</v>
          </cell>
          <cell r="AY28" t="str">
            <v>ROOF TOP</v>
          </cell>
          <cell r="AZ28" t="str">
            <v>POLE</v>
          </cell>
          <cell r="BA28">
            <v>34.700000000000003</v>
          </cell>
          <cell r="BB28">
            <v>25.7</v>
          </cell>
          <cell r="BC28">
            <v>0</v>
          </cell>
          <cell r="BD28" t="str">
            <v>Go</v>
          </cell>
        </row>
        <row r="29">
          <cell r="B29">
            <v>1133152004</v>
          </cell>
          <cell r="C29" t="str">
            <v>TBG GROUP</v>
          </cell>
          <cell r="D29" t="str">
            <v>TBG</v>
          </cell>
          <cell r="E29" t="str">
            <v>JAWA</v>
          </cell>
          <cell r="F29" t="str">
            <v>DKI JAKARTA</v>
          </cell>
          <cell r="G29" t="str">
            <v>KOTA ADM. JAKARTA BARAT</v>
          </cell>
          <cell r="H29" t="str">
            <v>TAMBORA</v>
          </cell>
          <cell r="I29" t="str">
            <v>ROOF TOP</v>
          </cell>
          <cell r="J29" t="str">
            <v>POLE</v>
          </cell>
          <cell r="K29">
            <v>-6.1365600000000002</v>
          </cell>
          <cell r="L29">
            <v>106.80410000000001</v>
          </cell>
          <cell r="M29" t="str">
            <v>Ready for Integration (RFI)</v>
          </cell>
          <cell r="N29" t="str">
            <v>Site 101 &amp; Site 106</v>
          </cell>
          <cell r="O29" t="str">
            <v>Berpotensi terjadi Commcase</v>
          </cell>
          <cell r="P29" t="str">
            <v>Tidak berpotensi hard comcase</v>
          </cell>
          <cell r="Q29">
            <v>47605</v>
          </cell>
          <cell r="R29">
            <v>2030</v>
          </cell>
          <cell r="S29" t="str">
            <v>60 Days</v>
          </cell>
          <cell r="T29" t="str">
            <v>20M</v>
          </cell>
          <cell r="U29" t="str">
            <v>Need STR No Paralel</v>
          </cell>
          <cell r="V29" t="str">
            <v>20m</v>
          </cell>
          <cell r="W29" t="str">
            <v>OK</v>
          </cell>
          <cell r="AC29" t="str">
            <v>IBS BANDENGAN SELATAN</v>
          </cell>
          <cell r="AD29" t="str">
            <v>ROOF TOP</v>
          </cell>
          <cell r="AE29" t="str">
            <v>POLE</v>
          </cell>
          <cell r="AF29">
            <v>29</v>
          </cell>
          <cell r="AM29" t="str">
            <v>Hold</v>
          </cell>
          <cell r="AO29">
            <v>1133152004</v>
          </cell>
          <cell r="AP29" t="str">
            <v>IBS BANDENGAN SELATAN</v>
          </cell>
          <cell r="AQ29">
            <v>-6.1365600000000002</v>
          </cell>
          <cell r="AR29">
            <v>106.80410000000001</v>
          </cell>
          <cell r="AS29" t="str">
            <v>TBG GROUP</v>
          </cell>
          <cell r="AT29" t="str">
            <v>TBG</v>
          </cell>
          <cell r="AU29" t="str">
            <v>JAWA</v>
          </cell>
          <cell r="AV29" t="str">
            <v>DKI JAKARTA</v>
          </cell>
          <cell r="AW29" t="str">
            <v>KOTA ADM. JAKARTA BARAT</v>
          </cell>
          <cell r="AX29" t="str">
            <v>TAMBORA</v>
          </cell>
          <cell r="AY29" t="str">
            <v>ROOF TOP</v>
          </cell>
          <cell r="AZ29" t="str">
            <v>POLE</v>
          </cell>
          <cell r="BA29">
            <v>29</v>
          </cell>
          <cell r="BB29">
            <v>20</v>
          </cell>
          <cell r="BC29">
            <v>0</v>
          </cell>
        </row>
        <row r="30">
          <cell r="B30">
            <v>120288109</v>
          </cell>
          <cell r="C30" t="str">
            <v>TBG GROUP</v>
          </cell>
          <cell r="D30" t="str">
            <v>TBG</v>
          </cell>
          <cell r="E30" t="str">
            <v>JAWA</v>
          </cell>
          <cell r="F30" t="str">
            <v>JAWA BARAT</v>
          </cell>
          <cell r="G30" t="str">
            <v>KAB. BOGOR</v>
          </cell>
          <cell r="H30" t="str">
            <v>BOJONG GEDE</v>
          </cell>
          <cell r="I30" t="str">
            <v>GREEN FIELD</v>
          </cell>
          <cell r="J30" t="str">
            <v>SST</v>
          </cell>
          <cell r="K30">
            <v>-6.496929999999999</v>
          </cell>
          <cell r="L30">
            <v>106.79996</v>
          </cell>
          <cell r="M30" t="str">
            <v>Ready for Integration (RFI)</v>
          </cell>
          <cell r="N30" t="str">
            <v>Site 101 &amp; Site 106</v>
          </cell>
          <cell r="O30" t="str">
            <v>Oke - tidak ada issue</v>
          </cell>
          <cell r="P30" t="str">
            <v>Tidak ada isue</v>
          </cell>
          <cell r="Q30" t="str">
            <v>2037-07-08 00:00:00</v>
          </cell>
          <cell r="R30">
            <v>2037</v>
          </cell>
          <cell r="S30" t="str">
            <v>30 Days</v>
          </cell>
          <cell r="T30" t="str">
            <v>20M</v>
          </cell>
          <cell r="U30" t="str">
            <v>No Need STR</v>
          </cell>
          <cell r="V30" t="str">
            <v>20m</v>
          </cell>
          <cell r="W30" t="str">
            <v>OK</v>
          </cell>
          <cell r="AC30" t="str">
            <v>BOJONG DEPOK BARU</v>
          </cell>
          <cell r="AD30" t="str">
            <v>GREEN FIELD</v>
          </cell>
          <cell r="AE30" t="str">
            <v>SST</v>
          </cell>
          <cell r="AF30">
            <v>42</v>
          </cell>
          <cell r="AM30" t="str">
            <v>Go</v>
          </cell>
          <cell r="AO30">
            <v>120288109</v>
          </cell>
          <cell r="AP30" t="str">
            <v>BOJONG DEPOK BARU</v>
          </cell>
          <cell r="AQ30">
            <v>-6.496929999999999</v>
          </cell>
          <cell r="AR30">
            <v>106.79996</v>
          </cell>
          <cell r="AS30" t="str">
            <v>TBG GROUP</v>
          </cell>
          <cell r="AT30" t="str">
            <v>TBG</v>
          </cell>
          <cell r="AU30" t="str">
            <v>JAWA</v>
          </cell>
          <cell r="AV30" t="str">
            <v>JAWA BARAT</v>
          </cell>
          <cell r="AW30" t="str">
            <v>KAB. BOGOR</v>
          </cell>
          <cell r="AX30" t="str">
            <v>BOJONG GEDE</v>
          </cell>
          <cell r="AY30" t="str">
            <v>GREEN FIELD</v>
          </cell>
          <cell r="AZ30" t="str">
            <v>SST</v>
          </cell>
          <cell r="BA30">
            <v>42</v>
          </cell>
          <cell r="BB30">
            <v>0</v>
          </cell>
          <cell r="BC30">
            <v>0</v>
          </cell>
          <cell r="BD30" t="str">
            <v>Go</v>
          </cell>
        </row>
        <row r="31">
          <cell r="B31">
            <v>125966123</v>
          </cell>
          <cell r="C31" t="str">
            <v>TBG GROUP</v>
          </cell>
          <cell r="D31" t="str">
            <v>TBG</v>
          </cell>
          <cell r="E31" t="str">
            <v>JAWA</v>
          </cell>
          <cell r="F31" t="str">
            <v>JAWA BARAT</v>
          </cell>
          <cell r="G31" t="str">
            <v>KAB. BOGOR</v>
          </cell>
          <cell r="H31" t="str">
            <v>SUKARAJA</v>
          </cell>
          <cell r="I31" t="str">
            <v>GREEN FIELD</v>
          </cell>
          <cell r="J31" t="str">
            <v>SST</v>
          </cell>
          <cell r="K31">
            <v>-6.5219500000000004</v>
          </cell>
          <cell r="L31">
            <v>106.79885</v>
          </cell>
          <cell r="M31" t="str">
            <v>Ready for Integration (RFI)</v>
          </cell>
          <cell r="N31" t="str">
            <v>Site 101 &amp; Site 106</v>
          </cell>
          <cell r="O31" t="str">
            <v>Oke - tidak ada issue</v>
          </cell>
          <cell r="P31" t="str">
            <v>Tidak ada isue</v>
          </cell>
          <cell r="Q31" t="str">
            <v>2035-01-12 00:00:00</v>
          </cell>
          <cell r="R31">
            <v>2035</v>
          </cell>
          <cell r="S31" t="str">
            <v>30 Days</v>
          </cell>
          <cell r="T31" t="str">
            <v>20M</v>
          </cell>
          <cell r="U31" t="str">
            <v>No Need STR</v>
          </cell>
          <cell r="V31" t="str">
            <v>20m</v>
          </cell>
          <cell r="W31" t="str">
            <v>OK</v>
          </cell>
          <cell r="AC31" t="str">
            <v>SUKARAJA CILEBUT</v>
          </cell>
          <cell r="AD31" t="str">
            <v>GREEN FIELD</v>
          </cell>
          <cell r="AE31" t="str">
            <v>SST</v>
          </cell>
          <cell r="AF31">
            <v>42</v>
          </cell>
          <cell r="AM31" t="str">
            <v>Go</v>
          </cell>
          <cell r="AO31">
            <v>125966123</v>
          </cell>
          <cell r="AP31" t="str">
            <v>SUKARAJA CILEBUT</v>
          </cell>
          <cell r="AQ31">
            <v>-6.5219500000000004</v>
          </cell>
          <cell r="AR31">
            <v>106.79885</v>
          </cell>
          <cell r="AS31" t="str">
            <v>TBG GROUP</v>
          </cell>
          <cell r="AT31" t="str">
            <v>TBG</v>
          </cell>
          <cell r="AU31" t="str">
            <v>JAWA</v>
          </cell>
          <cell r="AV31" t="str">
            <v>JAWA BARAT</v>
          </cell>
          <cell r="AW31" t="str">
            <v>KAB. BOGOR</v>
          </cell>
          <cell r="AX31" t="str">
            <v>SUKARAJA</v>
          </cell>
          <cell r="AY31" t="str">
            <v>GREEN FIELD</v>
          </cell>
          <cell r="AZ31" t="str">
            <v>SST</v>
          </cell>
          <cell r="BA31">
            <v>42</v>
          </cell>
          <cell r="BB31">
            <v>0</v>
          </cell>
          <cell r="BC31">
            <v>0</v>
          </cell>
          <cell r="BD31" t="str">
            <v>Go</v>
          </cell>
        </row>
        <row r="32">
          <cell r="B32">
            <v>111545109</v>
          </cell>
          <cell r="C32" t="str">
            <v>TBG GROUP</v>
          </cell>
          <cell r="D32" t="str">
            <v>TBG</v>
          </cell>
          <cell r="E32" t="str">
            <v>JAWA</v>
          </cell>
          <cell r="F32" t="str">
            <v>DKI JAKARTA</v>
          </cell>
          <cell r="G32" t="str">
            <v>KOTA ADM. JAKARTA PUSAT</v>
          </cell>
          <cell r="H32" t="str">
            <v>TANAH ABANG</v>
          </cell>
          <cell r="I32" t="str">
            <v>GREEN FIELD</v>
          </cell>
          <cell r="J32" t="str">
            <v>POLE</v>
          </cell>
          <cell r="K32">
            <v>-6.2030700000000003</v>
          </cell>
          <cell r="L32">
            <v>106.79791</v>
          </cell>
          <cell r="M32" t="str">
            <v>Ready for Integration (RFI)</v>
          </cell>
          <cell r="N32" t="str">
            <v>Site 106 Only</v>
          </cell>
          <cell r="O32" t="str">
            <v>Oke - tidak ada issue</v>
          </cell>
          <cell r="Q32" t="str">
            <v>2034-10-23 00:00:00</v>
          </cell>
          <cell r="R32">
            <v>2034</v>
          </cell>
          <cell r="S32" t="str">
            <v>30 Days</v>
          </cell>
          <cell r="T32" t="str">
            <v>Height not Available (&lt;21M)</v>
          </cell>
          <cell r="U32" t="str">
            <v>No Need STR @16m</v>
          </cell>
          <cell r="V32" t="str">
            <v>16m</v>
          </cell>
          <cell r="W32" t="str">
            <v>OK</v>
          </cell>
          <cell r="AC32" t="str">
            <v>BATIK HAJADI</v>
          </cell>
          <cell r="AD32" t="str">
            <v>GREEN FIELD</v>
          </cell>
          <cell r="AE32" t="str">
            <v>MONO_POLE</v>
          </cell>
          <cell r="AF32">
            <v>18</v>
          </cell>
          <cell r="AM32" t="str">
            <v>Go</v>
          </cell>
          <cell r="AO32">
            <v>111545109</v>
          </cell>
          <cell r="AP32" t="str">
            <v>BATIK HAJADI</v>
          </cell>
          <cell r="AQ32">
            <v>-6.2030700000000003</v>
          </cell>
          <cell r="AR32">
            <v>106.79791</v>
          </cell>
          <cell r="AS32" t="str">
            <v>TBG GROUP</v>
          </cell>
          <cell r="AT32" t="str">
            <v>TBG</v>
          </cell>
          <cell r="AU32" t="str">
            <v>JAWA</v>
          </cell>
          <cell r="AV32" t="str">
            <v>DKI JAKARTA</v>
          </cell>
          <cell r="AW32" t="str">
            <v>KOTA ADM. JAKARTA PUSAT</v>
          </cell>
          <cell r="AX32" t="str">
            <v>TANAH ABANG</v>
          </cell>
          <cell r="AY32" t="str">
            <v>GREEN FIELD</v>
          </cell>
          <cell r="AZ32" t="str">
            <v>POLE</v>
          </cell>
          <cell r="BA32">
            <v>18</v>
          </cell>
          <cell r="BB32">
            <v>0</v>
          </cell>
          <cell r="BC32">
            <v>0</v>
          </cell>
          <cell r="BD32" t="str">
            <v>Go</v>
          </cell>
        </row>
        <row r="33">
          <cell r="B33">
            <v>112283109</v>
          </cell>
          <cell r="C33" t="str">
            <v>TBG GROUP</v>
          </cell>
          <cell r="D33" t="str">
            <v>TBG</v>
          </cell>
          <cell r="E33" t="str">
            <v>JAWA</v>
          </cell>
          <cell r="F33" t="str">
            <v>DKI JAKARTA</v>
          </cell>
          <cell r="G33" t="str">
            <v>KOTA ADM. JAKARTA BARAT</v>
          </cell>
          <cell r="H33" t="str">
            <v>GROGOL PETAMBURAN</v>
          </cell>
          <cell r="I33" t="str">
            <v>GREEN FIELD</v>
          </cell>
          <cell r="J33" t="str">
            <v>POLE</v>
          </cell>
          <cell r="K33">
            <v>-6.1601600000000003</v>
          </cell>
          <cell r="L33">
            <v>106.79617</v>
          </cell>
          <cell r="M33" t="str">
            <v>Ready for Integration (RFI)</v>
          </cell>
          <cell r="N33" t="str">
            <v>Site 101 &amp; Site 106</v>
          </cell>
          <cell r="O33" t="str">
            <v>Oke - tidak ada issue</v>
          </cell>
          <cell r="P33" t="str">
            <v>Tidak ada isue</v>
          </cell>
          <cell r="Q33" t="str">
            <v>2034-10-23 00:00:00</v>
          </cell>
          <cell r="R33">
            <v>2034</v>
          </cell>
          <cell r="S33" t="str">
            <v>30 Days</v>
          </cell>
          <cell r="T33" t="str">
            <v>Height not Available (&lt;21M)</v>
          </cell>
          <cell r="U33" t="str">
            <v>No Need STR @16m</v>
          </cell>
          <cell r="V33" t="str">
            <v>16m</v>
          </cell>
          <cell r="W33" t="str">
            <v>NOK</v>
          </cell>
          <cell r="AC33" t="str">
            <v>DRNURDINGROGOL</v>
          </cell>
          <cell r="AD33" t="str">
            <v>GREEN FIELD</v>
          </cell>
          <cell r="AE33" t="str">
            <v>POLE</v>
          </cell>
          <cell r="AF33">
            <v>18</v>
          </cell>
          <cell r="AM33" t="str">
            <v>Drop</v>
          </cell>
          <cell r="AO33">
            <v>112283109</v>
          </cell>
          <cell r="AP33" t="str">
            <v>DRNURDINGROGOL</v>
          </cell>
          <cell r="AQ33">
            <v>-6.1601600000000003</v>
          </cell>
          <cell r="AR33">
            <v>106.79617</v>
          </cell>
          <cell r="AS33" t="str">
            <v>TBG GROUP</v>
          </cell>
          <cell r="AT33" t="str">
            <v>TBG</v>
          </cell>
          <cell r="AU33" t="str">
            <v>JAWA</v>
          </cell>
          <cell r="AV33" t="str">
            <v>DKI JAKARTA</v>
          </cell>
          <cell r="AW33" t="str">
            <v>KOTA ADM. JAKARTA BARAT</v>
          </cell>
          <cell r="AX33" t="str">
            <v>GROGOL PETAMBURAN</v>
          </cell>
          <cell r="AY33" t="str">
            <v>GREEN FIELD</v>
          </cell>
          <cell r="AZ33" t="str">
            <v>POLE</v>
          </cell>
          <cell r="BA33">
            <v>18</v>
          </cell>
          <cell r="BB33">
            <v>0</v>
          </cell>
          <cell r="BC33">
            <v>0</v>
          </cell>
        </row>
        <row r="34">
          <cell r="B34">
            <v>110572121</v>
          </cell>
          <cell r="C34" t="str">
            <v>TBG GROUP</v>
          </cell>
          <cell r="D34" t="str">
            <v>TBG</v>
          </cell>
          <cell r="E34" t="str">
            <v>JAWA</v>
          </cell>
          <cell r="F34" t="str">
            <v>DKI JAKARTA</v>
          </cell>
          <cell r="G34" t="str">
            <v>KOTA ADM. JAKARTA BARAT</v>
          </cell>
          <cell r="H34" t="str">
            <v>GROGOL PETAMBURAN</v>
          </cell>
          <cell r="I34" t="str">
            <v>GREEN FIELD</v>
          </cell>
          <cell r="J34" t="str">
            <v>POLE</v>
          </cell>
          <cell r="K34">
            <v>-6.1639799999999987</v>
          </cell>
          <cell r="L34">
            <v>106.79333</v>
          </cell>
          <cell r="M34" t="str">
            <v>Ready for Integration (RFI)</v>
          </cell>
          <cell r="N34" t="str">
            <v>Site 101 &amp; Site 106</v>
          </cell>
          <cell r="O34" t="str">
            <v>Oke - tidak ada issue</v>
          </cell>
          <cell r="P34" t="str">
            <v>Tidak ada isue</v>
          </cell>
          <cell r="Q34" t="str">
            <v>2034-10-23 00:00:00</v>
          </cell>
          <cell r="R34">
            <v>2034</v>
          </cell>
          <cell r="S34" t="str">
            <v>30 Days</v>
          </cell>
          <cell r="T34" t="str">
            <v>Height not Available (&lt;21M)</v>
          </cell>
          <cell r="U34" t="str">
            <v>No Need STR @17m</v>
          </cell>
          <cell r="V34" t="str">
            <v>17m</v>
          </cell>
          <cell r="W34" t="str">
            <v>NOK</v>
          </cell>
          <cell r="AC34" t="str">
            <v>SUSILO MAWARDI MC-T-GF</v>
          </cell>
          <cell r="AD34" t="str">
            <v>GREEN FIELD</v>
          </cell>
          <cell r="AE34" t="str">
            <v>POLE</v>
          </cell>
          <cell r="AF34">
            <v>17</v>
          </cell>
          <cell r="AM34" t="str">
            <v>Drop</v>
          </cell>
          <cell r="AO34">
            <v>110572121</v>
          </cell>
          <cell r="AP34" t="str">
            <v>SUSILO MAWARDI MC-T-GF</v>
          </cell>
          <cell r="AQ34">
            <v>-6.1639799999999987</v>
          </cell>
          <cell r="AR34">
            <v>106.79333</v>
          </cell>
          <cell r="AS34" t="str">
            <v>TBG GROUP</v>
          </cell>
          <cell r="AT34" t="str">
            <v>TBG</v>
          </cell>
          <cell r="AU34" t="str">
            <v>JAWA</v>
          </cell>
          <cell r="AV34" t="str">
            <v>DKI JAKARTA</v>
          </cell>
          <cell r="AW34" t="str">
            <v>KOTA ADM. JAKARTA BARAT</v>
          </cell>
          <cell r="AX34" t="str">
            <v>GROGOL PETAMBURAN</v>
          </cell>
          <cell r="AY34" t="str">
            <v>GREEN FIELD</v>
          </cell>
          <cell r="AZ34" t="str">
            <v>POLE</v>
          </cell>
          <cell r="BA34">
            <v>17</v>
          </cell>
          <cell r="BB34">
            <v>0</v>
          </cell>
          <cell r="BC34">
            <v>0</v>
          </cell>
        </row>
        <row r="35">
          <cell r="B35">
            <v>1221021004</v>
          </cell>
          <cell r="C35" t="str">
            <v>TBG GROUP</v>
          </cell>
          <cell r="D35" t="str">
            <v>TBG</v>
          </cell>
          <cell r="E35" t="str">
            <v>JAWA</v>
          </cell>
          <cell r="F35" t="str">
            <v>JAWA BARAT</v>
          </cell>
          <cell r="G35" t="str">
            <v>KOTA BOGOR</v>
          </cell>
          <cell r="H35" t="str">
            <v>BOGOR TENGAH</v>
          </cell>
          <cell r="I35" t="str">
            <v>ROOF TOP</v>
          </cell>
          <cell r="J35" t="str">
            <v>SST</v>
          </cell>
          <cell r="K35">
            <v>-6.589579999999998</v>
          </cell>
          <cell r="L35">
            <v>106.79232</v>
          </cell>
          <cell r="M35" t="str">
            <v>Ready for Integration (RFI)</v>
          </cell>
          <cell r="N35" t="str">
            <v>Site 101 &amp; Site 106</v>
          </cell>
          <cell r="O35" t="str">
            <v>Oke - tidak ada issue</v>
          </cell>
          <cell r="P35" t="str">
            <v>Tidak ada isue</v>
          </cell>
          <cell r="Q35" t="str">
            <v>2034-11-29 00:00:00</v>
          </cell>
          <cell r="R35">
            <v>2034</v>
          </cell>
          <cell r="S35" t="str">
            <v>30 Days</v>
          </cell>
          <cell r="T35" t="str">
            <v>20M</v>
          </cell>
          <cell r="U35" t="str">
            <v>No Need STR</v>
          </cell>
          <cell r="V35" t="str">
            <v>20m</v>
          </cell>
          <cell r="W35" t="str">
            <v>NOK</v>
          </cell>
          <cell r="AC35" t="str">
            <v>PABATON_BARAT</v>
          </cell>
          <cell r="AD35" t="str">
            <v>ROOF TOP</v>
          </cell>
          <cell r="AE35" t="str">
            <v>SST</v>
          </cell>
          <cell r="AF35">
            <v>20</v>
          </cell>
          <cell r="AM35" t="str">
            <v>Drop</v>
          </cell>
          <cell r="AO35">
            <v>1221021004</v>
          </cell>
          <cell r="AP35" t="str">
            <v>PABATON_BARAT</v>
          </cell>
          <cell r="AQ35">
            <v>-6.589579999999998</v>
          </cell>
          <cell r="AR35">
            <v>106.79232</v>
          </cell>
          <cell r="AS35" t="str">
            <v>TBG GROUP</v>
          </cell>
          <cell r="AT35" t="str">
            <v>TBG</v>
          </cell>
          <cell r="AU35" t="str">
            <v>JAWA</v>
          </cell>
          <cell r="AV35" t="str">
            <v>JAWA BARAT</v>
          </cell>
          <cell r="AW35" t="str">
            <v>KOTA BOGOR</v>
          </cell>
          <cell r="AX35" t="str">
            <v>BOGOR TENGAH</v>
          </cell>
          <cell r="AY35" t="str">
            <v>ROOF TOP</v>
          </cell>
          <cell r="AZ35" t="str">
            <v>SST</v>
          </cell>
          <cell r="BA35">
            <v>20</v>
          </cell>
          <cell r="BB35">
            <v>0</v>
          </cell>
          <cell r="BC35">
            <v>0</v>
          </cell>
        </row>
        <row r="36">
          <cell r="B36">
            <v>141845109</v>
          </cell>
          <cell r="C36" t="str">
            <v>TBG GROUP</v>
          </cell>
          <cell r="D36" t="str">
            <v>TBG</v>
          </cell>
          <cell r="E36" t="str">
            <v>JAWA</v>
          </cell>
          <cell r="F36" t="str">
            <v>JAWA TENGAH</v>
          </cell>
          <cell r="G36" t="str">
            <v>KAB. DEMAK</v>
          </cell>
          <cell r="H36" t="str">
            <v>MRANGGEN</v>
          </cell>
          <cell r="I36" t="str">
            <v>GREEN FIELD</v>
          </cell>
          <cell r="J36" t="str">
            <v>SST</v>
          </cell>
          <cell r="K36">
            <v>-7.0206799999999996</v>
          </cell>
          <cell r="L36">
            <v>110.51255500000001</v>
          </cell>
          <cell r="M36" t="str">
            <v>Ready for Integration (RFI)</v>
          </cell>
          <cell r="N36" t="str">
            <v>Site 101 &amp; Site 106</v>
          </cell>
          <cell r="O36" t="str">
            <v>Plan/Proses Relokasi</v>
          </cell>
          <cell r="P36" t="str">
            <v>proses relokasi, hunting kandidat</v>
          </cell>
          <cell r="Q36" t="str">
            <v>2026-04-06 00:00:00</v>
          </cell>
          <cell r="R36">
            <v>2026</v>
          </cell>
          <cell r="S36" t="str">
            <v>90 Days</v>
          </cell>
          <cell r="T36" t="str">
            <v>On process Relokasi</v>
          </cell>
          <cell r="U36" t="str">
            <v>On process Relokasi</v>
          </cell>
          <cell r="V36" t="str">
            <v>On process Relokasi</v>
          </cell>
          <cell r="W36" t="str">
            <v>OK</v>
          </cell>
          <cell r="Z36" t="str">
            <v>TSEL</v>
          </cell>
          <cell r="AA36">
            <v>49517</v>
          </cell>
          <cell r="AB36">
            <v>2035</v>
          </cell>
          <cell r="AC36" t="str">
            <v>BRUMBUNG</v>
          </cell>
          <cell r="AD36" t="str">
            <v>GREEN FIELD</v>
          </cell>
          <cell r="AE36" t="str">
            <v>SST</v>
          </cell>
          <cell r="AF36">
            <v>62</v>
          </cell>
          <cell r="AG36" t="str">
            <v>RFI Reloc : April 2026
STIP 6 blm ada.. SI</v>
          </cell>
          <cell r="AH36">
            <v>110.5121</v>
          </cell>
          <cell r="AI36">
            <v>-7.0221400000000003</v>
          </cell>
          <cell r="AJ36" t="str">
            <v>Propose April 2024</v>
          </cell>
          <cell r="AM36" t="str">
            <v>Hold</v>
          </cell>
          <cell r="AO36">
            <v>141845109</v>
          </cell>
          <cell r="AP36" t="str">
            <v>BRUMBUNG</v>
          </cell>
          <cell r="AQ36">
            <v>-7.0221400000000003</v>
          </cell>
          <cell r="AR36">
            <v>110.5121</v>
          </cell>
          <cell r="AS36" t="str">
            <v>TBG GROUP</v>
          </cell>
          <cell r="AT36" t="str">
            <v>TBG</v>
          </cell>
          <cell r="AU36" t="str">
            <v>JAWA</v>
          </cell>
          <cell r="AV36" t="str">
            <v>JAWA TENGAH</v>
          </cell>
          <cell r="AW36" t="str">
            <v>KAB. DEMAK</v>
          </cell>
          <cell r="AX36" t="str">
            <v>MRANGGEN</v>
          </cell>
          <cell r="AY36" t="str">
            <v>GREEN FIELD</v>
          </cell>
          <cell r="AZ36" t="str">
            <v>SST</v>
          </cell>
          <cell r="BA36">
            <v>62</v>
          </cell>
          <cell r="BB36">
            <v>0</v>
          </cell>
          <cell r="BC36">
            <v>0</v>
          </cell>
        </row>
        <row r="37">
          <cell r="B37">
            <v>112190109</v>
          </cell>
          <cell r="C37" t="str">
            <v>TBG GROUP</v>
          </cell>
          <cell r="D37" t="str">
            <v>TBG</v>
          </cell>
          <cell r="E37" t="str">
            <v>JAWA</v>
          </cell>
          <cell r="F37" t="str">
            <v>DKI JAKARTA</v>
          </cell>
          <cell r="G37" t="str">
            <v>KOTA ADM. JAKARTA BARAT</v>
          </cell>
          <cell r="H37" t="str">
            <v>GROGOL PETAMBURAN</v>
          </cell>
          <cell r="I37" t="str">
            <v>GREEN FIELD</v>
          </cell>
          <cell r="J37" t="str">
            <v>POLE</v>
          </cell>
          <cell r="K37">
            <v>-6.160890000000002</v>
          </cell>
          <cell r="L37">
            <v>106.78716</v>
          </cell>
          <cell r="M37" t="str">
            <v>Ready for Integration (RFI)</v>
          </cell>
          <cell r="N37" t="str">
            <v>Site 101 &amp; Site 106</v>
          </cell>
          <cell r="O37" t="str">
            <v>Oke - tidak ada issue</v>
          </cell>
          <cell r="P37" t="str">
            <v>Tidak ada isue</v>
          </cell>
          <cell r="Q37" t="str">
            <v>2034-10-23 00:00:00</v>
          </cell>
          <cell r="R37">
            <v>2034</v>
          </cell>
          <cell r="S37" t="str">
            <v>30 Days</v>
          </cell>
          <cell r="T37" t="str">
            <v>Height not Available (&lt;21M)</v>
          </cell>
          <cell r="U37" t="str">
            <v>No Need STR @16m</v>
          </cell>
          <cell r="V37" t="str">
            <v>16m</v>
          </cell>
          <cell r="W37" t="str">
            <v>NOK</v>
          </cell>
          <cell r="AC37" t="str">
            <v>LATUMENTEN4</v>
          </cell>
          <cell r="AD37" t="str">
            <v>GREEN FIELD</v>
          </cell>
          <cell r="AE37" t="str">
            <v>MONO_POLE</v>
          </cell>
          <cell r="AF37">
            <v>18</v>
          </cell>
          <cell r="AM37" t="str">
            <v>Drop</v>
          </cell>
          <cell r="AO37">
            <v>112190109</v>
          </cell>
          <cell r="AP37" t="str">
            <v>LATUMENTEN4</v>
          </cell>
          <cell r="AQ37">
            <v>-6.160890000000002</v>
          </cell>
          <cell r="AR37">
            <v>106.78716</v>
          </cell>
          <cell r="AS37" t="str">
            <v>TBG GROUP</v>
          </cell>
          <cell r="AT37" t="str">
            <v>TBG</v>
          </cell>
          <cell r="AU37" t="str">
            <v>JAWA</v>
          </cell>
          <cell r="AV37" t="str">
            <v>DKI JAKARTA</v>
          </cell>
          <cell r="AW37" t="str">
            <v>KOTA ADM. JAKARTA BARAT</v>
          </cell>
          <cell r="AX37" t="str">
            <v>GROGOL PETAMBURAN</v>
          </cell>
          <cell r="AY37" t="str">
            <v>GREEN FIELD</v>
          </cell>
          <cell r="AZ37" t="str">
            <v>POLE</v>
          </cell>
          <cell r="BA37">
            <v>18</v>
          </cell>
          <cell r="BB37">
            <v>0</v>
          </cell>
          <cell r="BC37">
            <v>0</v>
          </cell>
        </row>
        <row r="38">
          <cell r="B38">
            <v>111211121</v>
          </cell>
          <cell r="C38" t="str">
            <v>TBG GROUP</v>
          </cell>
          <cell r="D38" t="str">
            <v>TBG</v>
          </cell>
          <cell r="E38" t="str">
            <v>JAWA</v>
          </cell>
          <cell r="F38" t="str">
            <v>DKI JAKARTA</v>
          </cell>
          <cell r="G38" t="str">
            <v>KOTA ADM. JAKARTA SELATAN</v>
          </cell>
          <cell r="H38" t="str">
            <v>KEBAYORAN LAMA</v>
          </cell>
          <cell r="I38" t="str">
            <v>GREEN FIELD</v>
          </cell>
          <cell r="J38" t="str">
            <v>POLE</v>
          </cell>
          <cell r="K38">
            <v>-6.2408000000000001</v>
          </cell>
          <cell r="L38">
            <v>106.78107</v>
          </cell>
          <cell r="M38" t="str">
            <v>Ready for Integration (RFI)</v>
          </cell>
          <cell r="N38" t="str">
            <v>Site 106 Only</v>
          </cell>
          <cell r="O38" t="str">
            <v>Berpotensi terjadi Commcase</v>
          </cell>
          <cell r="P38" t="str">
            <v>Tidak berpotensi hard comcase</v>
          </cell>
          <cell r="Q38" t="str">
            <v>2034-10-23 00:00:00</v>
          </cell>
          <cell r="R38">
            <v>2034</v>
          </cell>
          <cell r="S38" t="str">
            <v>30 Days</v>
          </cell>
          <cell r="T38" t="str">
            <v>Height not Available (&lt;21M)</v>
          </cell>
          <cell r="U38" t="str">
            <v>No Need STR @17m</v>
          </cell>
          <cell r="V38" t="str">
            <v>17m</v>
          </cell>
          <cell r="W38" t="str">
            <v>OK</v>
          </cell>
          <cell r="AC38" t="str">
            <v>PENGHULU LAMA MC-T-GF</v>
          </cell>
          <cell r="AD38" t="str">
            <v>GREEN FIELD</v>
          </cell>
          <cell r="AE38" t="str">
            <v>POLE</v>
          </cell>
          <cell r="AF38">
            <v>17</v>
          </cell>
          <cell r="AM38" t="str">
            <v>Go</v>
          </cell>
          <cell r="AO38">
            <v>111211121</v>
          </cell>
          <cell r="AP38" t="str">
            <v>PENGHULU LAMA MC-T-GF</v>
          </cell>
          <cell r="AQ38">
            <v>-6.2408000000000001</v>
          </cell>
          <cell r="AR38">
            <v>106.78107</v>
          </cell>
          <cell r="AS38" t="str">
            <v>TBG GROUP</v>
          </cell>
          <cell r="AT38" t="str">
            <v>TBG</v>
          </cell>
          <cell r="AU38" t="str">
            <v>JAWA</v>
          </cell>
          <cell r="AV38" t="str">
            <v>DKI JAKARTA</v>
          </cell>
          <cell r="AW38" t="str">
            <v>KOTA ADM. JAKARTA SELATAN</v>
          </cell>
          <cell r="AX38" t="str">
            <v>KEBAYORAN LAMA</v>
          </cell>
          <cell r="AY38" t="str">
            <v>GREEN FIELD</v>
          </cell>
          <cell r="AZ38" t="str">
            <v>POLE</v>
          </cell>
          <cell r="BA38">
            <v>17</v>
          </cell>
          <cell r="BB38">
            <v>0</v>
          </cell>
          <cell r="BC38">
            <v>0</v>
          </cell>
          <cell r="BD38" t="str">
            <v>Go</v>
          </cell>
        </row>
        <row r="39">
          <cell r="B39">
            <v>110032104</v>
          </cell>
          <cell r="C39" t="str">
            <v>TBG GROUP</v>
          </cell>
          <cell r="D39" t="str">
            <v>TBG</v>
          </cell>
          <cell r="E39" t="str">
            <v>JAWA</v>
          </cell>
          <cell r="F39" t="str">
            <v>DKI JAKARTA</v>
          </cell>
          <cell r="G39" t="str">
            <v>KOTA ADM. JAKARTA SELATAN</v>
          </cell>
          <cell r="H39" t="str">
            <v>KEBAYORAN LAMA</v>
          </cell>
          <cell r="I39" t="str">
            <v>GREEN FIELD</v>
          </cell>
          <cell r="J39" t="str">
            <v>SST</v>
          </cell>
          <cell r="K39">
            <v>-6.2369500000000002</v>
          </cell>
          <cell r="L39">
            <v>106.77619</v>
          </cell>
          <cell r="M39" t="str">
            <v>Ready for Integration (RFI)</v>
          </cell>
          <cell r="N39" t="str">
            <v>Site 106 Only</v>
          </cell>
          <cell r="O39" t="str">
            <v>Berpotensi terjadi Commcase</v>
          </cell>
          <cell r="P39" t="str">
            <v>Tidak berpotensi hard comcase</v>
          </cell>
          <cell r="Q39" t="str">
            <v>2030-12-15 00:00:00</v>
          </cell>
          <cell r="R39">
            <v>2030</v>
          </cell>
          <cell r="S39" t="str">
            <v>30 Days</v>
          </cell>
          <cell r="T39" t="str">
            <v>20M</v>
          </cell>
          <cell r="U39" t="str">
            <v>No Need STR</v>
          </cell>
          <cell r="V39" t="str">
            <v>20m</v>
          </cell>
          <cell r="W39" t="str">
            <v>NOK</v>
          </cell>
          <cell r="AC39" t="str">
            <v>D_CIPULIR_RYA</v>
          </cell>
          <cell r="AD39" t="str">
            <v>GREEN FIELD</v>
          </cell>
          <cell r="AE39" t="str">
            <v>SST</v>
          </cell>
          <cell r="AF39">
            <v>30</v>
          </cell>
          <cell r="AM39" t="str">
            <v>Drop</v>
          </cell>
          <cell r="AO39">
            <v>110032104</v>
          </cell>
          <cell r="AP39" t="str">
            <v>D_CIPULIR_RYA</v>
          </cell>
          <cell r="AQ39">
            <v>-6.2369500000000002</v>
          </cell>
          <cell r="AR39">
            <v>106.77619</v>
          </cell>
          <cell r="AS39" t="str">
            <v>TBG GROUP</v>
          </cell>
          <cell r="AT39" t="str">
            <v>TBG</v>
          </cell>
          <cell r="AU39" t="str">
            <v>JAWA</v>
          </cell>
          <cell r="AV39" t="str">
            <v>DKI JAKARTA</v>
          </cell>
          <cell r="AW39" t="str">
            <v>KOTA ADM. JAKARTA SELATAN</v>
          </cell>
          <cell r="AX39" t="str">
            <v>KEBAYORAN LAMA</v>
          </cell>
          <cell r="AY39" t="str">
            <v>GREEN FIELD</v>
          </cell>
          <cell r="AZ39" t="str">
            <v>SST</v>
          </cell>
          <cell r="BA39">
            <v>30</v>
          </cell>
          <cell r="BB39">
            <v>0</v>
          </cell>
          <cell r="BC39">
            <v>0</v>
          </cell>
        </row>
        <row r="40">
          <cell r="B40">
            <v>1440632003</v>
          </cell>
          <cell r="C40" t="str">
            <v>TBG GROUP</v>
          </cell>
          <cell r="D40" t="str">
            <v>TBG</v>
          </cell>
          <cell r="E40" t="str">
            <v>JAWA</v>
          </cell>
          <cell r="F40" t="str">
            <v>JAWA TENGAH</v>
          </cell>
          <cell r="G40" t="str">
            <v>KOTA SEMARANG</v>
          </cell>
          <cell r="H40" t="str">
            <v>TUGU</v>
          </cell>
          <cell r="I40" t="str">
            <v>GREEN FIELD</v>
          </cell>
          <cell r="J40" t="str">
            <v>POLE</v>
          </cell>
          <cell r="K40">
            <v>-6.9837999999999996</v>
          </cell>
          <cell r="L40">
            <v>110.35695</v>
          </cell>
          <cell r="M40" t="str">
            <v>Ready for Integration (RFI)</v>
          </cell>
          <cell r="N40" t="str">
            <v>Site 101 &amp; Site 106</v>
          </cell>
          <cell r="O40" t="str">
            <v>Berpotensi terjadi Commcase</v>
          </cell>
          <cell r="P40" t="str">
            <v>Tidak berpotensi hard comcase</v>
          </cell>
          <cell r="Q40" t="str">
            <v>2027-01-22 00:00:00</v>
          </cell>
          <cell r="R40">
            <v>2027</v>
          </cell>
          <cell r="S40" t="str">
            <v>30 Days</v>
          </cell>
          <cell r="T40" t="str">
            <v>20M</v>
          </cell>
          <cell r="U40" t="str">
            <v>No need STR</v>
          </cell>
          <cell r="V40" t="str">
            <v>20m</v>
          </cell>
          <cell r="W40" t="str">
            <v>OK</v>
          </cell>
          <cell r="AC40" t="str">
            <v>IBS TUGU REJO</v>
          </cell>
          <cell r="AD40" t="str">
            <v>GREEN FIELD</v>
          </cell>
          <cell r="AE40" t="str">
            <v>MONO_POLE</v>
          </cell>
          <cell r="AF40">
            <v>36</v>
          </cell>
          <cell r="AM40" t="str">
            <v>Go</v>
          </cell>
          <cell r="AO40">
            <v>1440632003</v>
          </cell>
          <cell r="AP40" t="str">
            <v>IBS TUGU REJO</v>
          </cell>
          <cell r="AQ40">
            <v>-6.9837999999999996</v>
          </cell>
          <cell r="AR40">
            <v>110.35695</v>
          </cell>
          <cell r="AS40" t="str">
            <v>TBG GROUP</v>
          </cell>
          <cell r="AT40" t="str">
            <v>TBG</v>
          </cell>
          <cell r="AU40" t="str">
            <v>JAWA</v>
          </cell>
          <cell r="AV40" t="str">
            <v>JAWA TENGAH</v>
          </cell>
          <cell r="AW40" t="str">
            <v>KOTA SEMARANG</v>
          </cell>
          <cell r="AX40" t="str">
            <v>TUGU</v>
          </cell>
          <cell r="AY40" t="str">
            <v>GREEN FIELD</v>
          </cell>
          <cell r="AZ40" t="str">
            <v>POLE</v>
          </cell>
          <cell r="BA40">
            <v>36</v>
          </cell>
          <cell r="BB40">
            <v>0</v>
          </cell>
          <cell r="BC40">
            <v>0</v>
          </cell>
          <cell r="BD40" t="str">
            <v>Go</v>
          </cell>
        </row>
        <row r="41">
          <cell r="B41">
            <v>142463126</v>
          </cell>
          <cell r="C41" t="str">
            <v>TBG GROUP</v>
          </cell>
          <cell r="D41" t="str">
            <v>TBG</v>
          </cell>
          <cell r="E41" t="str">
            <v>JAWA</v>
          </cell>
          <cell r="F41" t="str">
            <v>JAWA TENGAH</v>
          </cell>
          <cell r="G41" t="str">
            <v>KOTA SEMARANG</v>
          </cell>
          <cell r="H41" t="str">
            <v>SEMARANG SELATAN</v>
          </cell>
          <cell r="I41" t="str">
            <v>GREEN FIELD</v>
          </cell>
          <cell r="J41" t="str">
            <v>POLE</v>
          </cell>
          <cell r="K41">
            <v>-6.9833499999999997</v>
          </cell>
          <cell r="L41">
            <v>110.40684</v>
          </cell>
          <cell r="M41" t="str">
            <v>Ready for Integration (RFI)</v>
          </cell>
          <cell r="N41" t="str">
            <v>Site 101 &amp; Site 106</v>
          </cell>
          <cell r="O41" t="str">
            <v>Oke - tidak ada issue</v>
          </cell>
          <cell r="P41" t="str">
            <v>MCP - proses perpanjangan 2026 (pertahun)</v>
          </cell>
          <cell r="Q41" t="str">
            <v>2022-03-13 00:00:00</v>
          </cell>
          <cell r="R41">
            <v>2022</v>
          </cell>
          <cell r="S41" t="str">
            <v>30 Days</v>
          </cell>
          <cell r="T41" t="str">
            <v>Height not Available (&lt;21M)</v>
          </cell>
          <cell r="U41" t="str">
            <v>No Need STR @18m</v>
          </cell>
          <cell r="V41" t="str">
            <v>18m</v>
          </cell>
          <cell r="W41" t="str">
            <v>OK</v>
          </cell>
          <cell r="Z41" t="str">
            <v>No Tenant</v>
          </cell>
          <cell r="AC41" t="str">
            <v>BULUSTALAN 1</v>
          </cell>
          <cell r="AD41" t="str">
            <v>GREEN FIELD</v>
          </cell>
          <cell r="AE41" t="str">
            <v>MONO_POLE</v>
          </cell>
          <cell r="AF41">
            <v>18</v>
          </cell>
          <cell r="AM41" t="str">
            <v>Go</v>
          </cell>
          <cell r="AO41">
            <v>142463126</v>
          </cell>
          <cell r="AP41" t="str">
            <v>BULUSTALAN 1</v>
          </cell>
          <cell r="AQ41">
            <v>-6.9833499999999997</v>
          </cell>
          <cell r="AR41">
            <v>110.40684</v>
          </cell>
          <cell r="AS41" t="str">
            <v>TBG GROUP</v>
          </cell>
          <cell r="AT41" t="str">
            <v>TBG</v>
          </cell>
          <cell r="AU41" t="str">
            <v>JAWA</v>
          </cell>
          <cell r="AV41" t="str">
            <v>JAWA TENGAH</v>
          </cell>
          <cell r="AW41" t="str">
            <v>KOTA SEMARANG</v>
          </cell>
          <cell r="AX41" t="str">
            <v>SEMARANG SELATAN</v>
          </cell>
          <cell r="AY41" t="str">
            <v>GREEN FIELD</v>
          </cell>
          <cell r="AZ41" t="str">
            <v>POLE</v>
          </cell>
          <cell r="BA41">
            <v>18</v>
          </cell>
          <cell r="BB41">
            <v>0</v>
          </cell>
          <cell r="BC41">
            <v>0</v>
          </cell>
          <cell r="BD41" t="str">
            <v>Go</v>
          </cell>
        </row>
        <row r="42">
          <cell r="B42">
            <v>131098126</v>
          </cell>
          <cell r="C42" t="str">
            <v>TBG GROUP</v>
          </cell>
          <cell r="D42" t="str">
            <v>TBG</v>
          </cell>
          <cell r="E42" t="str">
            <v>JAWA</v>
          </cell>
          <cell r="F42" t="str">
            <v>BANTEN</v>
          </cell>
          <cell r="G42" t="str">
            <v>KOTA TANGERANG SELATAN</v>
          </cell>
          <cell r="H42" t="str">
            <v>PONDOK AREN</v>
          </cell>
          <cell r="I42" t="str">
            <v>GREEN FIELD</v>
          </cell>
          <cell r="J42" t="str">
            <v>POLE</v>
          </cell>
          <cell r="K42">
            <v>-6.2736199999999993</v>
          </cell>
          <cell r="L42">
            <v>106.74471</v>
          </cell>
          <cell r="M42" t="str">
            <v>Ready for Integration (RFI)</v>
          </cell>
          <cell r="N42" t="str">
            <v>Site 101 &amp; Site 106</v>
          </cell>
          <cell r="O42" t="str">
            <v>Oke - tidak ada issue</v>
          </cell>
          <cell r="P42" t="str">
            <v>MCP - proses perpanjangan 2026 (pertahun)</v>
          </cell>
          <cell r="Q42" t="str">
            <v>2026-12-31 00:00:00</v>
          </cell>
          <cell r="R42">
            <v>2026</v>
          </cell>
          <cell r="S42" t="str">
            <v>30 Days</v>
          </cell>
          <cell r="T42" t="str">
            <v>Height not Available (&lt;21M)</v>
          </cell>
          <cell r="U42" t="str">
            <v>No Need STR @18m</v>
          </cell>
          <cell r="V42" t="str">
            <v>18m</v>
          </cell>
          <cell r="W42" t="str">
            <v>OK</v>
          </cell>
          <cell r="Z42" t="str">
            <v>No Tenant</v>
          </cell>
          <cell r="AC42" t="str">
            <v>MCP PONDOK BETUNG 7</v>
          </cell>
          <cell r="AD42" t="str">
            <v>GREEN FIELD</v>
          </cell>
          <cell r="AE42" t="str">
            <v>MONO_POLE</v>
          </cell>
          <cell r="AF42">
            <v>18</v>
          </cell>
          <cell r="AM42" t="str">
            <v>Go</v>
          </cell>
          <cell r="AO42">
            <v>131098126</v>
          </cell>
          <cell r="AP42" t="str">
            <v>MCP PONDOK BETUNG 7</v>
          </cell>
          <cell r="AQ42">
            <v>-6.2736199999999993</v>
          </cell>
          <cell r="AR42">
            <v>106.74471</v>
          </cell>
          <cell r="AS42" t="str">
            <v>TBG GROUP</v>
          </cell>
          <cell r="AT42" t="str">
            <v>TBG</v>
          </cell>
          <cell r="AU42" t="str">
            <v>JAWA</v>
          </cell>
          <cell r="AV42" t="str">
            <v>BANTEN</v>
          </cell>
          <cell r="AW42" t="str">
            <v>KOTA TANGERANG SELATAN</v>
          </cell>
          <cell r="AX42" t="str">
            <v>PONDOK AREN</v>
          </cell>
          <cell r="AY42" t="str">
            <v>GREEN FIELD</v>
          </cell>
          <cell r="AZ42" t="str">
            <v>POLE</v>
          </cell>
          <cell r="BA42">
            <v>18</v>
          </cell>
          <cell r="BB42">
            <v>0</v>
          </cell>
          <cell r="BC42">
            <v>0</v>
          </cell>
          <cell r="BD42" t="str">
            <v>Go</v>
          </cell>
        </row>
        <row r="43">
          <cell r="B43">
            <v>142566126</v>
          </cell>
          <cell r="C43" t="str">
            <v>TBG GROUP</v>
          </cell>
          <cell r="D43" t="str">
            <v>TBG</v>
          </cell>
          <cell r="E43" t="str">
            <v>JAWA</v>
          </cell>
          <cell r="F43" t="str">
            <v>JAWA TENGAH</v>
          </cell>
          <cell r="G43" t="str">
            <v>KOTA SEMARANG</v>
          </cell>
          <cell r="H43" t="str">
            <v>SEMARANG TENGAH</v>
          </cell>
          <cell r="I43" t="str">
            <v>GREEN FIELD</v>
          </cell>
          <cell r="J43" t="str">
            <v>POLE</v>
          </cell>
          <cell r="K43">
            <v>-6.9785199999999987</v>
          </cell>
          <cell r="L43">
            <v>110.41184</v>
          </cell>
          <cell r="M43" t="str">
            <v>Ready for Integration (RFI)</v>
          </cell>
          <cell r="N43" t="str">
            <v>Site 101 &amp; Site 106</v>
          </cell>
          <cell r="O43" t="str">
            <v>Oke - tidak ada issue</v>
          </cell>
          <cell r="P43" t="str">
            <v>MCP - proses perpanjangan 2026 (pertahun)</v>
          </cell>
          <cell r="Q43" t="str">
            <v>2021-05-08 00:00:00</v>
          </cell>
          <cell r="R43">
            <v>2021</v>
          </cell>
          <cell r="S43" t="str">
            <v>30 Days</v>
          </cell>
          <cell r="T43" t="str">
            <v>Height not Available (&lt;21M)</v>
          </cell>
          <cell r="U43" t="str">
            <v>No Need STR @16m</v>
          </cell>
          <cell r="V43" t="str">
            <v>16m</v>
          </cell>
          <cell r="W43" t="str">
            <v>OK</v>
          </cell>
          <cell r="Z43" t="str">
            <v>TSEL</v>
          </cell>
          <cell r="AA43">
            <v>46545</v>
          </cell>
          <cell r="AB43">
            <v>2027</v>
          </cell>
          <cell r="AC43" t="str">
            <v>SMAN 03</v>
          </cell>
          <cell r="AD43" t="str">
            <v>GREEN FIELD</v>
          </cell>
          <cell r="AE43" t="str">
            <v>MONO_POLE</v>
          </cell>
          <cell r="AF43">
            <v>18</v>
          </cell>
          <cell r="AM43" t="str">
            <v>Go</v>
          </cell>
          <cell r="AO43">
            <v>142566126</v>
          </cell>
          <cell r="AP43" t="str">
            <v>SMAN 03</v>
          </cell>
          <cell r="AQ43">
            <v>-6.9785199999999987</v>
          </cell>
          <cell r="AR43">
            <v>110.41184</v>
          </cell>
          <cell r="AS43" t="str">
            <v>TBG GROUP</v>
          </cell>
          <cell r="AT43" t="str">
            <v>TBG</v>
          </cell>
          <cell r="AU43" t="str">
            <v>JAWA</v>
          </cell>
          <cell r="AV43" t="str">
            <v>JAWA TENGAH</v>
          </cell>
          <cell r="AW43" t="str">
            <v>KOTA SEMARANG</v>
          </cell>
          <cell r="AX43" t="str">
            <v>SEMARANG TENGAH</v>
          </cell>
          <cell r="AY43" t="str">
            <v>GREEN FIELD</v>
          </cell>
          <cell r="AZ43" t="str">
            <v>POLE</v>
          </cell>
          <cell r="BA43">
            <v>18</v>
          </cell>
          <cell r="BB43">
            <v>0</v>
          </cell>
          <cell r="BC43">
            <v>0</v>
          </cell>
          <cell r="BD43" t="str">
            <v>Go</v>
          </cell>
        </row>
        <row r="44">
          <cell r="B44">
            <v>122492110</v>
          </cell>
          <cell r="C44" t="str">
            <v>TBG GROUP</v>
          </cell>
          <cell r="D44" t="str">
            <v>TBG</v>
          </cell>
          <cell r="E44" t="str">
            <v>JAWA</v>
          </cell>
          <cell r="F44" t="str">
            <v>JAWA BARAT</v>
          </cell>
          <cell r="G44" t="str">
            <v>KAB. SUBANG</v>
          </cell>
          <cell r="H44" t="str">
            <v>PABUARAN</v>
          </cell>
          <cell r="I44" t="str">
            <v>GREEN FIELD</v>
          </cell>
          <cell r="J44" t="str">
            <v>SST</v>
          </cell>
          <cell r="K44">
            <v>-6.4116099999999996</v>
          </cell>
          <cell r="L44">
            <v>107.57532999999999</v>
          </cell>
          <cell r="M44" t="str">
            <v>Ready for Integration (RFI)</v>
          </cell>
          <cell r="N44" t="str">
            <v>Site 101 &amp; Site 106</v>
          </cell>
          <cell r="O44" t="str">
            <v>Berpotensi terjadi Commcase</v>
          </cell>
          <cell r="P44" t="str">
            <v>Tidak berpotensi hard comcase</v>
          </cell>
          <cell r="Q44" t="str">
            <v>2035-09-05 00:00:00</v>
          </cell>
          <cell r="R44">
            <v>2035</v>
          </cell>
          <cell r="S44" t="str">
            <v>30 Days</v>
          </cell>
          <cell r="T44" t="str">
            <v>20M</v>
          </cell>
          <cell r="U44" t="str">
            <v>No Need STR</v>
          </cell>
          <cell r="V44" t="str">
            <v>20m</v>
          </cell>
          <cell r="W44" t="str">
            <v>OK</v>
          </cell>
          <cell r="AC44" t="str">
            <v>PABUARAN BARAT</v>
          </cell>
          <cell r="AD44" t="str">
            <v>GREEN FIELD</v>
          </cell>
          <cell r="AE44" t="str">
            <v>SST</v>
          </cell>
          <cell r="AF44">
            <v>52</v>
          </cell>
          <cell r="AM44" t="str">
            <v>Go</v>
          </cell>
          <cell r="AO44">
            <v>122492110</v>
          </cell>
          <cell r="AP44" t="str">
            <v>PABUARAN BARAT</v>
          </cell>
          <cell r="AQ44">
            <v>-6.4116099999999996</v>
          </cell>
          <cell r="AR44">
            <v>107.57532999999999</v>
          </cell>
          <cell r="AS44" t="str">
            <v>TBG GROUP</v>
          </cell>
          <cell r="AT44" t="str">
            <v>TBG</v>
          </cell>
          <cell r="AU44" t="str">
            <v>JAWA</v>
          </cell>
          <cell r="AV44" t="str">
            <v>JAWA BARAT</v>
          </cell>
          <cell r="AW44" t="str">
            <v>KAB. SUBANG</v>
          </cell>
          <cell r="AX44" t="str">
            <v>PABUARAN</v>
          </cell>
          <cell r="AY44" t="str">
            <v>GREEN FIELD</v>
          </cell>
          <cell r="AZ44" t="str">
            <v>SST</v>
          </cell>
          <cell r="BA44">
            <v>52</v>
          </cell>
          <cell r="BB44">
            <v>0</v>
          </cell>
          <cell r="BC44">
            <v>0</v>
          </cell>
          <cell r="BD44" t="str">
            <v>Go</v>
          </cell>
        </row>
        <row r="45">
          <cell r="B45">
            <v>1446221023</v>
          </cell>
          <cell r="C45" t="str">
            <v>TBG GROUP</v>
          </cell>
          <cell r="D45" t="str">
            <v>TBG</v>
          </cell>
          <cell r="E45" t="str">
            <v>JAWA</v>
          </cell>
          <cell r="F45" t="str">
            <v>JAWA TENGAH</v>
          </cell>
          <cell r="G45" t="str">
            <v>KOTA SEMARANG</v>
          </cell>
          <cell r="H45" t="str">
            <v>SEMARANG UTARA</v>
          </cell>
          <cell r="I45" t="str">
            <v>ROOF TOP</v>
          </cell>
          <cell r="J45" t="str">
            <v>SST</v>
          </cell>
          <cell r="K45">
            <v>-6.9590799999999993</v>
          </cell>
          <cell r="L45">
            <v>110.41924</v>
          </cell>
          <cell r="M45" t="str">
            <v>Ready for Integration (RFI)</v>
          </cell>
          <cell r="N45" t="str">
            <v>Site 101 &amp; Site 106</v>
          </cell>
          <cell r="O45" t="str">
            <v>Oke - tidak ada issue</v>
          </cell>
          <cell r="P45" t="str">
            <v>MCP - proses perpanjangan 2026 (pertahun)</v>
          </cell>
          <cell r="Q45" t="str">
            <v>2026-10-18 00:00:00</v>
          </cell>
          <cell r="R45">
            <v>2026</v>
          </cell>
          <cell r="S45" t="str">
            <v>30 Days</v>
          </cell>
          <cell r="T45" t="str">
            <v>20M</v>
          </cell>
          <cell r="U45" t="str">
            <v>No need STR</v>
          </cell>
          <cell r="V45" t="str">
            <v>20m</v>
          </cell>
          <cell r="W45" t="str">
            <v>OK</v>
          </cell>
          <cell r="Z45" t="str">
            <v>SMART</v>
          </cell>
          <cell r="AA45">
            <v>46958</v>
          </cell>
          <cell r="AB45">
            <v>2028</v>
          </cell>
          <cell r="AC45" t="str">
            <v>SEMARANG SEMARANG UTARA</v>
          </cell>
          <cell r="AD45" t="str">
            <v>ROOF TOP</v>
          </cell>
          <cell r="AE45" t="str">
            <v>SST</v>
          </cell>
          <cell r="AF45">
            <v>26.4</v>
          </cell>
          <cell r="AM45" t="str">
            <v>Go</v>
          </cell>
          <cell r="AO45">
            <v>1446221023</v>
          </cell>
          <cell r="AP45" t="str">
            <v>SEMARANG SEMARANG UTARA</v>
          </cell>
          <cell r="AQ45">
            <v>-6.9590799999999993</v>
          </cell>
          <cell r="AR45">
            <v>110.41924</v>
          </cell>
          <cell r="AS45" t="str">
            <v>TBG GROUP</v>
          </cell>
          <cell r="AT45" t="str">
            <v>TBG</v>
          </cell>
          <cell r="AU45" t="str">
            <v>JAWA</v>
          </cell>
          <cell r="AV45" t="str">
            <v>JAWA TENGAH</v>
          </cell>
          <cell r="AW45" t="str">
            <v>KOTA SEMARANG</v>
          </cell>
          <cell r="AX45" t="str">
            <v>SEMARANG UTARA</v>
          </cell>
          <cell r="AY45" t="str">
            <v>ROOF TOP</v>
          </cell>
          <cell r="AZ45" t="str">
            <v>SST</v>
          </cell>
          <cell r="BA45">
            <v>26.4</v>
          </cell>
          <cell r="BB45">
            <v>6.4</v>
          </cell>
          <cell r="BC45">
            <v>0</v>
          </cell>
          <cell r="BD45" t="str">
            <v>Go</v>
          </cell>
        </row>
        <row r="46">
          <cell r="B46" t="str">
            <v>TBG03_CJ007</v>
          </cell>
          <cell r="C46" t="str">
            <v>TBG GROUP</v>
          </cell>
          <cell r="D46" t="str">
            <v>TBG</v>
          </cell>
          <cell r="E46" t="str">
            <v>JAWA</v>
          </cell>
          <cell r="F46" t="str">
            <v>JAWA TENGAH</v>
          </cell>
          <cell r="G46" t="str">
            <v>KOTA SEMARANG</v>
          </cell>
          <cell r="H46" t="str">
            <v>SEMARANG UTARA</v>
          </cell>
          <cell r="I46" t="str">
            <v>GREEN FIELD</v>
          </cell>
          <cell r="J46" t="str">
            <v>SST</v>
          </cell>
          <cell r="K46">
            <v>-6.964979999999998</v>
          </cell>
          <cell r="L46">
            <v>110.42412</v>
          </cell>
          <cell r="M46" t="str">
            <v>Ready for Integration (RFI)</v>
          </cell>
          <cell r="N46" t="str">
            <v>Site 101 &amp; Site 106</v>
          </cell>
          <cell r="O46" t="str">
            <v>Pernah terjadi commcase</v>
          </cell>
          <cell r="P46" t="str">
            <v>kompensasi lingkungan</v>
          </cell>
          <cell r="Q46" t="str">
            <v>2028-12-31 00:00:00</v>
          </cell>
          <cell r="R46">
            <v>2028</v>
          </cell>
          <cell r="S46" t="str">
            <v>30 Days</v>
          </cell>
          <cell r="T46" t="str">
            <v>20M</v>
          </cell>
          <cell r="U46" t="str">
            <v>No need STR</v>
          </cell>
          <cell r="V46" t="str">
            <v>20m</v>
          </cell>
          <cell r="W46" t="str">
            <v>OK</v>
          </cell>
          <cell r="AC46" t="str">
            <v>BANDAR HARJO</v>
          </cell>
          <cell r="AD46" t="str">
            <v>GREEN FIELD</v>
          </cell>
          <cell r="AE46" t="str">
            <v>SST</v>
          </cell>
          <cell r="AF46">
            <v>43</v>
          </cell>
          <cell r="AM46" t="str">
            <v>Go</v>
          </cell>
          <cell r="AO46" t="str">
            <v>TBG03_CJ007</v>
          </cell>
          <cell r="AP46" t="str">
            <v>BANDAR HARJO</v>
          </cell>
          <cell r="AQ46">
            <v>-6.964979999999998</v>
          </cell>
          <cell r="AR46">
            <v>110.42412</v>
          </cell>
          <cell r="AS46" t="str">
            <v>TBG GROUP</v>
          </cell>
          <cell r="AT46" t="str">
            <v>TBG</v>
          </cell>
          <cell r="AU46" t="str">
            <v>JAWA</v>
          </cell>
          <cell r="AV46" t="str">
            <v>JAWA TENGAH</v>
          </cell>
          <cell r="AW46" t="str">
            <v>KOTA SEMARANG</v>
          </cell>
          <cell r="AX46" t="str">
            <v>SEMARANG UTARA</v>
          </cell>
          <cell r="AY46" t="str">
            <v>GREEN FIELD</v>
          </cell>
          <cell r="AZ46" t="str">
            <v>SST</v>
          </cell>
          <cell r="BA46">
            <v>43</v>
          </cell>
          <cell r="BB46">
            <v>0</v>
          </cell>
          <cell r="BC46">
            <v>0</v>
          </cell>
          <cell r="BD46" t="str">
            <v>Go</v>
          </cell>
        </row>
        <row r="47">
          <cell r="B47">
            <v>111463110</v>
          </cell>
          <cell r="C47" t="str">
            <v>TBG GROUP</v>
          </cell>
          <cell r="D47" t="str">
            <v>TBG</v>
          </cell>
          <cell r="E47" t="str">
            <v>JAWA</v>
          </cell>
          <cell r="F47" t="str">
            <v>DKI JAKARTA</v>
          </cell>
          <cell r="G47" t="str">
            <v>KOTA ADM. JAKARTA BARAT</v>
          </cell>
          <cell r="H47" t="str">
            <v>CENGKARENG</v>
          </cell>
          <cell r="I47" t="str">
            <v>GREEN FIELD</v>
          </cell>
          <cell r="J47" t="str">
            <v>POLE</v>
          </cell>
          <cell r="K47">
            <v>-6.1570099999999979</v>
          </cell>
          <cell r="L47">
            <v>106.72701000000001</v>
          </cell>
          <cell r="M47" t="str">
            <v>Ready for Integration (RFI)</v>
          </cell>
          <cell r="N47" t="str">
            <v>Site 106 Only</v>
          </cell>
          <cell r="O47" t="str">
            <v>Oke - tidak ada issue</v>
          </cell>
          <cell r="P47" t="str">
            <v>Tidak ada isue</v>
          </cell>
          <cell r="Q47" t="str">
            <v>2034-10-23 00:00:00</v>
          </cell>
          <cell r="R47">
            <v>2034</v>
          </cell>
          <cell r="S47" t="str">
            <v>60 Days</v>
          </cell>
          <cell r="T47" t="str">
            <v>Height not Available (&lt;21M)</v>
          </cell>
          <cell r="U47" t="str">
            <v>Need STR No Paralel @16</v>
          </cell>
          <cell r="V47" t="str">
            <v>16m</v>
          </cell>
          <cell r="W47" t="str">
            <v>NOK</v>
          </cell>
          <cell r="AC47" t="str">
            <v>3G_DHARMA BAKTI</v>
          </cell>
          <cell r="AD47" t="str">
            <v>GREEN FIELD</v>
          </cell>
          <cell r="AE47" t="str">
            <v>MONO_POLE</v>
          </cell>
          <cell r="AF47">
            <v>18</v>
          </cell>
          <cell r="AM47" t="str">
            <v>Drop</v>
          </cell>
          <cell r="AO47">
            <v>111463110</v>
          </cell>
          <cell r="AP47" t="str">
            <v>3G_DHARMA BAKTI</v>
          </cell>
          <cell r="AQ47">
            <v>-6.1570099999999979</v>
          </cell>
          <cell r="AR47">
            <v>106.72701000000001</v>
          </cell>
          <cell r="AS47" t="str">
            <v>TBG GROUP</v>
          </cell>
          <cell r="AT47" t="str">
            <v>TBG</v>
          </cell>
          <cell r="AU47" t="str">
            <v>JAWA</v>
          </cell>
          <cell r="AV47" t="str">
            <v>DKI JAKARTA</v>
          </cell>
          <cell r="AW47" t="str">
            <v>KOTA ADM. JAKARTA BARAT</v>
          </cell>
          <cell r="AX47" t="str">
            <v>CENGKARENG</v>
          </cell>
          <cell r="AY47" t="str">
            <v>GREEN FIELD</v>
          </cell>
          <cell r="AZ47" t="str">
            <v>POLE</v>
          </cell>
          <cell r="BA47">
            <v>18</v>
          </cell>
          <cell r="BB47">
            <v>0</v>
          </cell>
          <cell r="BC47">
            <v>0</v>
          </cell>
        </row>
        <row r="48">
          <cell r="B48" t="str">
            <v>TBG05_BTN194</v>
          </cell>
          <cell r="C48" t="str">
            <v>TBG GROUP</v>
          </cell>
          <cell r="D48" t="str">
            <v>TBG</v>
          </cell>
          <cell r="E48" t="str">
            <v>JAWA</v>
          </cell>
          <cell r="F48" t="str">
            <v>BANTEN</v>
          </cell>
          <cell r="G48" t="str">
            <v>KOTA TANGERANG SELATAN</v>
          </cell>
          <cell r="H48" t="str">
            <v>CIPUTAT</v>
          </cell>
          <cell r="I48" t="str">
            <v>GREEN FIELD</v>
          </cell>
          <cell r="J48" t="str">
            <v>SST</v>
          </cell>
          <cell r="K48">
            <v>-6.2892699999999966</v>
          </cell>
          <cell r="L48">
            <v>106.72289000000001</v>
          </cell>
          <cell r="M48" t="str">
            <v>Ready for Integration (RFI)</v>
          </cell>
          <cell r="N48" t="str">
            <v>Site 101 &amp; Site 106</v>
          </cell>
          <cell r="O48" t="str">
            <v>Berpotensi terjadi Commcase</v>
          </cell>
          <cell r="P48" t="str">
            <v>Tidak berpotensi hard comcase</v>
          </cell>
          <cell r="Q48" t="str">
            <v>2033-08-20 00:00:00</v>
          </cell>
          <cell r="R48">
            <v>2033</v>
          </cell>
          <cell r="S48" t="str">
            <v>30 Days</v>
          </cell>
          <cell r="T48" t="str">
            <v>20M</v>
          </cell>
          <cell r="U48" t="str">
            <v>No Need STR</v>
          </cell>
          <cell r="V48" t="str">
            <v>20m</v>
          </cell>
          <cell r="W48" t="str">
            <v>NOK</v>
          </cell>
          <cell r="AC48" t="str">
            <v>SAWAH BARU</v>
          </cell>
          <cell r="AD48" t="str">
            <v>GREEN FIELD</v>
          </cell>
          <cell r="AE48" t="str">
            <v>SST</v>
          </cell>
          <cell r="AF48">
            <v>42</v>
          </cell>
          <cell r="AM48" t="str">
            <v>Drop</v>
          </cell>
          <cell r="AO48" t="str">
            <v>TBG05_BTN194</v>
          </cell>
          <cell r="AP48" t="str">
            <v>SAWAH BARU</v>
          </cell>
          <cell r="AQ48">
            <v>-6.2892699999999966</v>
          </cell>
          <cell r="AR48">
            <v>106.72289000000001</v>
          </cell>
          <cell r="AS48" t="str">
            <v>TBG GROUP</v>
          </cell>
          <cell r="AT48" t="str">
            <v>TBG</v>
          </cell>
          <cell r="AU48" t="str">
            <v>JAWA</v>
          </cell>
          <cell r="AV48" t="str">
            <v>BANTEN</v>
          </cell>
          <cell r="AW48" t="str">
            <v>KOTA TANGERANG SELATAN</v>
          </cell>
          <cell r="AX48" t="str">
            <v>CIPUTAT</v>
          </cell>
          <cell r="AY48" t="str">
            <v>GREEN FIELD</v>
          </cell>
          <cell r="AZ48" t="str">
            <v>SST</v>
          </cell>
          <cell r="BA48">
            <v>42</v>
          </cell>
          <cell r="BB48">
            <v>0</v>
          </cell>
          <cell r="BC48">
            <v>0</v>
          </cell>
        </row>
        <row r="49">
          <cell r="B49">
            <v>142684109</v>
          </cell>
          <cell r="C49" t="str">
            <v>TBG GROUP</v>
          </cell>
          <cell r="D49" t="str">
            <v>TBG</v>
          </cell>
          <cell r="E49" t="str">
            <v>JAWA</v>
          </cell>
          <cell r="F49" t="str">
            <v>JAWA TENGAH</v>
          </cell>
          <cell r="G49" t="str">
            <v>KOTA SEMARANG</v>
          </cell>
          <cell r="H49" t="str">
            <v>SEMARANG TIMUR</v>
          </cell>
          <cell r="I49" t="str">
            <v>GREEN FIELD</v>
          </cell>
          <cell r="J49" t="str">
            <v>POLE</v>
          </cell>
          <cell r="K49">
            <v>-6.9725110000000008</v>
          </cell>
          <cell r="L49">
            <v>110.434059</v>
          </cell>
          <cell r="M49" t="str">
            <v>Ready for Integration (RFI)</v>
          </cell>
          <cell r="N49" t="str">
            <v>Site 101 &amp; Site 106</v>
          </cell>
          <cell r="O49" t="str">
            <v>Berpotensi terjadi Commcase</v>
          </cell>
          <cell r="P49" t="str">
            <v>Tidak berpotensi hard comcase</v>
          </cell>
          <cell r="Q49" t="str">
            <v>2032-04-14 00:00:00</v>
          </cell>
          <cell r="R49">
            <v>2032</v>
          </cell>
          <cell r="S49" t="str">
            <v>60 Days</v>
          </cell>
          <cell r="T49" t="str">
            <v>Height not Available (&lt;21M)</v>
          </cell>
          <cell r="U49" t="str">
            <v>Need STR No Paralel @16</v>
          </cell>
          <cell r="V49" t="str">
            <v>16m</v>
          </cell>
          <cell r="W49" t="str">
            <v>OK</v>
          </cell>
          <cell r="AC49" t="str">
            <v>RS PANTIWILASA</v>
          </cell>
          <cell r="AD49" t="str">
            <v>GREEN FIELD</v>
          </cell>
          <cell r="AE49" t="str">
            <v>MONO_POLE</v>
          </cell>
          <cell r="AF49">
            <v>18</v>
          </cell>
          <cell r="AM49" t="str">
            <v>Hold</v>
          </cell>
          <cell r="AO49">
            <v>142684109</v>
          </cell>
          <cell r="AP49" t="str">
            <v>RS PANTIWILASA</v>
          </cell>
          <cell r="AQ49">
            <v>-6.9725110000000008</v>
          </cell>
          <cell r="AR49">
            <v>110.434059</v>
          </cell>
          <cell r="AS49" t="str">
            <v>TBG GROUP</v>
          </cell>
          <cell r="AT49" t="str">
            <v>TBG</v>
          </cell>
          <cell r="AU49" t="str">
            <v>JAWA</v>
          </cell>
          <cell r="AV49" t="str">
            <v>JAWA TENGAH</v>
          </cell>
          <cell r="AW49" t="str">
            <v>KOTA SEMARANG</v>
          </cell>
          <cell r="AX49" t="str">
            <v>SEMARANG TIMUR</v>
          </cell>
          <cell r="AY49" t="str">
            <v>GREEN FIELD</v>
          </cell>
          <cell r="AZ49" t="str">
            <v>POLE</v>
          </cell>
          <cell r="BA49">
            <v>18</v>
          </cell>
          <cell r="BB49">
            <v>0</v>
          </cell>
          <cell r="BC49">
            <v>0</v>
          </cell>
        </row>
        <row r="50">
          <cell r="B50">
            <v>1303981004</v>
          </cell>
          <cell r="C50" t="str">
            <v>TBG GROUP</v>
          </cell>
          <cell r="D50" t="str">
            <v>TBG</v>
          </cell>
          <cell r="E50" t="str">
            <v>JAWA</v>
          </cell>
          <cell r="F50" t="str">
            <v>BANTEN</v>
          </cell>
          <cell r="G50" t="str">
            <v>KOTA TANGERANG SELATAN</v>
          </cell>
          <cell r="H50" t="str">
            <v>CIPUTAT</v>
          </cell>
          <cell r="I50" t="str">
            <v>GREEN FIELD</v>
          </cell>
          <cell r="J50" t="str">
            <v>SST</v>
          </cell>
          <cell r="K50">
            <v>-6.2958100000000004</v>
          </cell>
          <cell r="L50">
            <v>106.71478</v>
          </cell>
          <cell r="M50" t="str">
            <v>Ready for Integration (RFI)</v>
          </cell>
          <cell r="N50" t="str">
            <v>Site 101 &amp; Site 106</v>
          </cell>
          <cell r="O50" t="str">
            <v>Berpotensi terjadi Commcase</v>
          </cell>
          <cell r="P50" t="str">
            <v>Tidak berpotensi hard comcase</v>
          </cell>
          <cell r="Q50" t="str">
            <v>2033-08-01 00:00:00</v>
          </cell>
          <cell r="R50">
            <v>2033</v>
          </cell>
          <cell r="S50" t="str">
            <v>30 Days</v>
          </cell>
          <cell r="T50" t="str">
            <v>20M</v>
          </cell>
          <cell r="U50" t="str">
            <v>No Need STR</v>
          </cell>
          <cell r="V50" t="str">
            <v>20m</v>
          </cell>
          <cell r="W50" t="str">
            <v>OK</v>
          </cell>
          <cell r="AC50" t="str">
            <v>SUDIMARA - RELOC</v>
          </cell>
          <cell r="AD50" t="str">
            <v>GREEN FIELD</v>
          </cell>
          <cell r="AE50" t="str">
            <v>SST</v>
          </cell>
          <cell r="AF50">
            <v>42</v>
          </cell>
          <cell r="AM50" t="str">
            <v>Go</v>
          </cell>
          <cell r="AO50">
            <v>1303981004</v>
          </cell>
          <cell r="AP50" t="str">
            <v>SUDIMARA - RELOC</v>
          </cell>
          <cell r="AQ50">
            <v>-6.2958100000000004</v>
          </cell>
          <cell r="AR50">
            <v>106.71478</v>
          </cell>
          <cell r="AS50" t="str">
            <v>TBG GROUP</v>
          </cell>
          <cell r="AT50" t="str">
            <v>TBG</v>
          </cell>
          <cell r="AU50" t="str">
            <v>JAWA</v>
          </cell>
          <cell r="AV50" t="str">
            <v>BANTEN</v>
          </cell>
          <cell r="AW50" t="str">
            <v>KOTA TANGERANG SELATAN</v>
          </cell>
          <cell r="AX50" t="str">
            <v>CIPUTAT</v>
          </cell>
          <cell r="AY50" t="str">
            <v>GREEN FIELD</v>
          </cell>
          <cell r="AZ50" t="str">
            <v>SST</v>
          </cell>
          <cell r="BA50">
            <v>42</v>
          </cell>
          <cell r="BB50">
            <v>0</v>
          </cell>
          <cell r="BC50">
            <v>0</v>
          </cell>
          <cell r="BD50" t="str">
            <v>Go</v>
          </cell>
        </row>
        <row r="51">
          <cell r="B51">
            <v>110157102</v>
          </cell>
          <cell r="C51" t="str">
            <v>TBG GROUP</v>
          </cell>
          <cell r="D51" t="str">
            <v>TBG</v>
          </cell>
          <cell r="E51" t="str">
            <v>JAWA</v>
          </cell>
          <cell r="F51" t="str">
            <v>DKI JAKARTA</v>
          </cell>
          <cell r="G51" t="str">
            <v>KOTA ADM. JAKARTA BARAT</v>
          </cell>
          <cell r="H51" t="str">
            <v>KALIDERES</v>
          </cell>
          <cell r="I51" t="str">
            <v>GREEN FIELD</v>
          </cell>
          <cell r="J51" t="str">
            <v>SST</v>
          </cell>
          <cell r="K51">
            <v>-6.1618399999999998</v>
          </cell>
          <cell r="L51">
            <v>106.70433</v>
          </cell>
          <cell r="M51" t="str">
            <v>Ready for Integration (RFI)</v>
          </cell>
          <cell r="N51" t="str">
            <v>Site 106 Only</v>
          </cell>
          <cell r="O51" t="str">
            <v>Oke - tidak ada issue</v>
          </cell>
          <cell r="P51" t="str">
            <v>Commcase Lingkungan</v>
          </cell>
          <cell r="Q51" t="str">
            <v>2032-09-08 00:00:00</v>
          </cell>
          <cell r="R51">
            <v>2032</v>
          </cell>
          <cell r="S51" t="str">
            <v>30 Days</v>
          </cell>
          <cell r="T51" t="str">
            <v>20M</v>
          </cell>
          <cell r="U51" t="str">
            <v>No Need STR</v>
          </cell>
          <cell r="V51" t="str">
            <v>20m</v>
          </cell>
          <cell r="W51" t="str">
            <v>OK</v>
          </cell>
          <cell r="AC51" t="str">
            <v>PTSEMANANGRAFIKA</v>
          </cell>
          <cell r="AD51" t="str">
            <v>GREEN FIELD</v>
          </cell>
          <cell r="AE51" t="str">
            <v>SST</v>
          </cell>
          <cell r="AF51">
            <v>42</v>
          </cell>
          <cell r="AM51" t="str">
            <v>Go</v>
          </cell>
          <cell r="AO51">
            <v>110157102</v>
          </cell>
          <cell r="AP51" t="str">
            <v>PTSEMANANGRAFIKA</v>
          </cell>
          <cell r="AQ51">
            <v>-6.1618399999999998</v>
          </cell>
          <cell r="AR51">
            <v>106.70433</v>
          </cell>
          <cell r="AS51" t="str">
            <v>TBG GROUP</v>
          </cell>
          <cell r="AT51" t="str">
            <v>TBG</v>
          </cell>
          <cell r="AU51" t="str">
            <v>JAWA</v>
          </cell>
          <cell r="AV51" t="str">
            <v>DKI JAKARTA</v>
          </cell>
          <cell r="AW51" t="str">
            <v>KOTA ADM. JAKARTA BARAT</v>
          </cell>
          <cell r="AX51" t="str">
            <v>KALIDERES</v>
          </cell>
          <cell r="AY51" t="str">
            <v>GREEN FIELD</v>
          </cell>
          <cell r="AZ51" t="str">
            <v>SST</v>
          </cell>
          <cell r="BA51">
            <v>42</v>
          </cell>
          <cell r="BB51">
            <v>0</v>
          </cell>
          <cell r="BC51">
            <v>0</v>
          </cell>
          <cell r="BD51" t="str">
            <v>Go</v>
          </cell>
        </row>
        <row r="52">
          <cell r="B52">
            <v>1130171001</v>
          </cell>
          <cell r="C52" t="str">
            <v>TBG GROUP</v>
          </cell>
          <cell r="D52" t="str">
            <v>TBG</v>
          </cell>
          <cell r="E52" t="str">
            <v>JAWA</v>
          </cell>
          <cell r="F52" t="str">
            <v>DKI JAKARTA</v>
          </cell>
          <cell r="G52" t="str">
            <v>KOTA ADM. JAKARTA BARAT</v>
          </cell>
          <cell r="H52" t="str">
            <v>KALIDERES</v>
          </cell>
          <cell r="I52" t="str">
            <v>GREEN FIELD</v>
          </cell>
          <cell r="J52" t="str">
            <v>POLE</v>
          </cell>
          <cell r="K52">
            <v>-6.1632699999999998</v>
          </cell>
          <cell r="L52">
            <v>106.69977</v>
          </cell>
          <cell r="M52" t="str">
            <v>Ready for Integration (RFI)</v>
          </cell>
          <cell r="N52" t="str">
            <v>Site 106 Only</v>
          </cell>
          <cell r="O52" t="str">
            <v>Oke - tidak ada issue</v>
          </cell>
          <cell r="P52" t="str">
            <v>Tidak ada isue</v>
          </cell>
          <cell r="Q52">
            <v>47929</v>
          </cell>
          <cell r="R52">
            <v>2031</v>
          </cell>
          <cell r="S52" t="str">
            <v>60 Days</v>
          </cell>
          <cell r="T52" t="str">
            <v>Height not Available (&lt;21M)</v>
          </cell>
          <cell r="U52" t="str">
            <v>Need STR No Paralel @16</v>
          </cell>
          <cell r="V52" t="str">
            <v>16m</v>
          </cell>
          <cell r="W52" t="str">
            <v>OK</v>
          </cell>
          <cell r="AC52" t="str">
            <v>STAKALIDERES</v>
          </cell>
          <cell r="AD52" t="str">
            <v>GREEN FIELD</v>
          </cell>
          <cell r="AE52" t="str">
            <v>MONO_POLE</v>
          </cell>
          <cell r="AF52">
            <v>25</v>
          </cell>
          <cell r="AM52" t="str">
            <v>Hold</v>
          </cell>
          <cell r="AO52">
            <v>1130171001</v>
          </cell>
          <cell r="AP52" t="str">
            <v>STAKALIDERES</v>
          </cell>
          <cell r="AQ52">
            <v>-6.1632699999999998</v>
          </cell>
          <cell r="AR52">
            <v>106.69977</v>
          </cell>
          <cell r="AS52" t="str">
            <v>TBG GROUP</v>
          </cell>
          <cell r="AT52" t="str">
            <v>TBG</v>
          </cell>
          <cell r="AU52" t="str">
            <v>JAWA</v>
          </cell>
          <cell r="AV52" t="str">
            <v>DKI JAKARTA</v>
          </cell>
          <cell r="AW52" t="str">
            <v>KOTA ADM. JAKARTA BARAT</v>
          </cell>
          <cell r="AX52" t="str">
            <v>KALIDERES</v>
          </cell>
          <cell r="AY52" t="str">
            <v>GREEN FIELD</v>
          </cell>
          <cell r="AZ52" t="str">
            <v>POLE</v>
          </cell>
          <cell r="BA52">
            <v>25</v>
          </cell>
          <cell r="BB52">
            <v>0</v>
          </cell>
          <cell r="BC52">
            <v>0</v>
          </cell>
        </row>
        <row r="53">
          <cell r="B53">
            <v>121327104</v>
          </cell>
          <cell r="C53" t="str">
            <v>TBG GROUP</v>
          </cell>
          <cell r="D53" t="str">
            <v>TBG</v>
          </cell>
          <cell r="E53" t="str">
            <v>JAWA</v>
          </cell>
          <cell r="F53" t="str">
            <v>JAWA BARAT</v>
          </cell>
          <cell r="G53" t="str">
            <v>KAB. BANDUNG</v>
          </cell>
          <cell r="H53" t="str">
            <v>RANCAEKEK</v>
          </cell>
          <cell r="I53" t="str">
            <v>GREEN FIELD</v>
          </cell>
          <cell r="J53" t="str">
            <v>SST</v>
          </cell>
          <cell r="K53">
            <v>-6.98902</v>
          </cell>
          <cell r="L53">
            <v>107.79942</v>
          </cell>
          <cell r="M53" t="str">
            <v>Ready for Integration (RFI)</v>
          </cell>
          <cell r="N53" t="str">
            <v>Site 101 &amp; Site 106</v>
          </cell>
          <cell r="O53" t="str">
            <v>Berpotensi terjadi Commcase</v>
          </cell>
          <cell r="P53" t="str">
            <v>Tidak berpotensi hard comcase</v>
          </cell>
          <cell r="Q53" t="str">
            <v>2029-05-31 00:00:00</v>
          </cell>
          <cell r="R53">
            <v>2029</v>
          </cell>
          <cell r="S53" t="str">
            <v>30 Days</v>
          </cell>
          <cell r="T53" t="str">
            <v>20M</v>
          </cell>
          <cell r="U53" t="str">
            <v>NO Need STR</v>
          </cell>
          <cell r="V53" t="str">
            <v>20m</v>
          </cell>
          <cell r="W53" t="str">
            <v>OK</v>
          </cell>
          <cell r="AC53" t="str">
            <v>HAURPUGUR</v>
          </cell>
          <cell r="AD53" t="str">
            <v>GREEN FIELD</v>
          </cell>
          <cell r="AE53" t="str">
            <v>SST</v>
          </cell>
          <cell r="AF53">
            <v>42</v>
          </cell>
          <cell r="AM53" t="str">
            <v>Go</v>
          </cell>
          <cell r="AO53">
            <v>121327104</v>
          </cell>
          <cell r="AP53" t="str">
            <v>HAURPUGUR</v>
          </cell>
          <cell r="AQ53">
            <v>-6.98902</v>
          </cell>
          <cell r="AR53">
            <v>107.79942</v>
          </cell>
          <cell r="AS53" t="str">
            <v>TBG GROUP</v>
          </cell>
          <cell r="AT53" t="str">
            <v>TBG</v>
          </cell>
          <cell r="AU53" t="str">
            <v>JAWA</v>
          </cell>
          <cell r="AV53" t="str">
            <v>JAWA BARAT</v>
          </cell>
          <cell r="AW53" t="str">
            <v>KAB. BANDUNG</v>
          </cell>
          <cell r="AX53" t="str">
            <v>RANCAEKEK</v>
          </cell>
          <cell r="AY53" t="str">
            <v>GREEN FIELD</v>
          </cell>
          <cell r="AZ53" t="str">
            <v>SST</v>
          </cell>
          <cell r="BA53">
            <v>42</v>
          </cell>
          <cell r="BB53">
            <v>0</v>
          </cell>
          <cell r="BC53">
            <v>0</v>
          </cell>
          <cell r="BD53" t="str">
            <v>Go</v>
          </cell>
        </row>
        <row r="54">
          <cell r="B54">
            <v>131148126</v>
          </cell>
          <cell r="C54" t="str">
            <v>TBG GROUP</v>
          </cell>
          <cell r="D54" t="str">
            <v>TBG</v>
          </cell>
          <cell r="E54" t="str">
            <v>JAWA</v>
          </cell>
          <cell r="F54" t="str">
            <v>BANTEN</v>
          </cell>
          <cell r="G54" t="str">
            <v>KOTA TANGERANG</v>
          </cell>
          <cell r="H54" t="str">
            <v>TANGERANG</v>
          </cell>
          <cell r="I54" t="str">
            <v>GREEN FIELD</v>
          </cell>
          <cell r="J54" t="str">
            <v>POLE</v>
          </cell>
          <cell r="K54">
            <v>-6.1712800000000003</v>
          </cell>
          <cell r="L54">
            <v>106.64391000000001</v>
          </cell>
          <cell r="M54" t="str">
            <v>Ready for Integration (RFI)</v>
          </cell>
          <cell r="N54" t="str">
            <v>Site 101 &amp; Site 106</v>
          </cell>
          <cell r="O54" t="str">
            <v>Oke - tidak ada issue</v>
          </cell>
          <cell r="P54" t="str">
            <v>MCP - proses perpanjangan 2026 (pertahun)</v>
          </cell>
          <cell r="Q54" t="str">
            <v>2020-01-19 00:00:00</v>
          </cell>
          <cell r="R54">
            <v>2020</v>
          </cell>
          <cell r="S54" t="str">
            <v>30 Days</v>
          </cell>
          <cell r="T54" t="str">
            <v>Height not Available (&lt;21M)</v>
          </cell>
          <cell r="U54" t="str">
            <v>No Need STR @16m</v>
          </cell>
          <cell r="V54" t="str">
            <v>16m</v>
          </cell>
          <cell r="W54" t="str">
            <v>NOK</v>
          </cell>
          <cell r="Z54" t="str">
            <v>XL</v>
          </cell>
          <cell r="AA54">
            <v>46056</v>
          </cell>
          <cell r="AB54">
            <v>2026</v>
          </cell>
          <cell r="AC54" t="str">
            <v>MCP TNG TANAH TINGGI 1</v>
          </cell>
          <cell r="AD54" t="str">
            <v>GREEN FIELD</v>
          </cell>
          <cell r="AE54" t="str">
            <v>MONO_POLE</v>
          </cell>
          <cell r="AF54">
            <v>18</v>
          </cell>
          <cell r="AM54" t="str">
            <v>Drop</v>
          </cell>
          <cell r="AO54">
            <v>131148126</v>
          </cell>
          <cell r="AP54" t="str">
            <v>MCP TNG TANAH TINGGI 1</v>
          </cell>
          <cell r="AQ54">
            <v>-6.1712800000000003</v>
          </cell>
          <cell r="AR54">
            <v>106.64391000000001</v>
          </cell>
          <cell r="AS54" t="str">
            <v>TBG GROUP</v>
          </cell>
          <cell r="AT54" t="str">
            <v>TBG</v>
          </cell>
          <cell r="AU54" t="str">
            <v>JAWA</v>
          </cell>
          <cell r="AV54" t="str">
            <v>BANTEN</v>
          </cell>
          <cell r="AW54" t="str">
            <v>KOTA TANGERANG</v>
          </cell>
          <cell r="AX54" t="str">
            <v>TANGERANG</v>
          </cell>
          <cell r="AY54" t="str">
            <v>GREEN FIELD</v>
          </cell>
          <cell r="AZ54" t="str">
            <v>POLE</v>
          </cell>
          <cell r="BA54">
            <v>18</v>
          </cell>
          <cell r="BB54">
            <v>0</v>
          </cell>
          <cell r="BC54">
            <v>0</v>
          </cell>
        </row>
        <row r="55">
          <cell r="B55">
            <v>122876109</v>
          </cell>
          <cell r="C55" t="str">
            <v>TBG GROUP</v>
          </cell>
          <cell r="D55" t="str">
            <v>TBG</v>
          </cell>
          <cell r="E55" t="str">
            <v>JAWA</v>
          </cell>
          <cell r="F55" t="str">
            <v>JAWA BARAT</v>
          </cell>
          <cell r="G55" t="str">
            <v>KAB. GARUT</v>
          </cell>
          <cell r="H55" t="str">
            <v>GARUT KOTA</v>
          </cell>
          <cell r="I55" t="str">
            <v>ROOF TOP</v>
          </cell>
          <cell r="J55" t="str">
            <v>SST</v>
          </cell>
          <cell r="K55">
            <v>-7.2139800000000012</v>
          </cell>
          <cell r="L55">
            <v>107.90526</v>
          </cell>
          <cell r="M55" t="str">
            <v>Ready for Integration (RFI)</v>
          </cell>
          <cell r="N55" t="str">
            <v>Site 101 &amp; Site 106</v>
          </cell>
          <cell r="O55" t="str">
            <v>Oke - tidak ada issue</v>
          </cell>
          <cell r="P55" t="str">
            <v>Tidak ada isue</v>
          </cell>
          <cell r="Q55" t="str">
            <v>2035-04-11 00:00:00</v>
          </cell>
          <cell r="R55">
            <v>2035</v>
          </cell>
          <cell r="S55" t="str">
            <v>30 Days</v>
          </cell>
          <cell r="T55" t="str">
            <v>20M</v>
          </cell>
          <cell r="U55" t="str">
            <v>No Need STR</v>
          </cell>
          <cell r="V55" t="str">
            <v>20m</v>
          </cell>
          <cell r="W55" t="str">
            <v>OK</v>
          </cell>
          <cell r="AC55" t="str">
            <v>JL TELADAN GARUT</v>
          </cell>
          <cell r="AD55" t="str">
            <v>ROOF TOP</v>
          </cell>
          <cell r="AE55" t="str">
            <v>SST</v>
          </cell>
          <cell r="AF55">
            <v>28.9</v>
          </cell>
          <cell r="AM55" t="str">
            <v>Go</v>
          </cell>
          <cell r="AO55">
            <v>122876109</v>
          </cell>
          <cell r="AP55" t="str">
            <v>JL TELADAN GARUT</v>
          </cell>
          <cell r="AQ55">
            <v>-7.2139800000000012</v>
          </cell>
          <cell r="AR55">
            <v>107.90526</v>
          </cell>
          <cell r="AS55" t="str">
            <v>TBG GROUP</v>
          </cell>
          <cell r="AT55" t="str">
            <v>TBG</v>
          </cell>
          <cell r="AU55" t="str">
            <v>JAWA</v>
          </cell>
          <cell r="AV55" t="str">
            <v>JAWA BARAT</v>
          </cell>
          <cell r="AW55" t="str">
            <v>KAB. GARUT</v>
          </cell>
          <cell r="AX55" t="str">
            <v>GARUT KOTA</v>
          </cell>
          <cell r="AY55" t="str">
            <v>ROOF TOP</v>
          </cell>
          <cell r="AZ55" t="str">
            <v>SST</v>
          </cell>
          <cell r="BA55">
            <v>28.9</v>
          </cell>
          <cell r="BB55">
            <v>3.9</v>
          </cell>
          <cell r="BC55">
            <v>0</v>
          </cell>
          <cell r="BD55" t="str">
            <v>Go</v>
          </cell>
        </row>
        <row r="56">
          <cell r="B56">
            <v>120465109</v>
          </cell>
          <cell r="C56" t="str">
            <v>TBG GROUP</v>
          </cell>
          <cell r="D56" t="str">
            <v>TBG</v>
          </cell>
          <cell r="E56" t="str">
            <v>JAWA</v>
          </cell>
          <cell r="F56" t="str">
            <v>JAWA BARAT</v>
          </cell>
          <cell r="G56" t="str">
            <v>KAB. GARUT</v>
          </cell>
          <cell r="H56" t="str">
            <v>GARUT KOTA</v>
          </cell>
          <cell r="I56" t="str">
            <v>GREEN FIELD</v>
          </cell>
          <cell r="J56" t="str">
            <v>SST</v>
          </cell>
          <cell r="K56">
            <v>-7.2074100000000003</v>
          </cell>
          <cell r="L56">
            <v>107.90976999999999</v>
          </cell>
          <cell r="M56" t="str">
            <v>Ready for Integration (RFI)</v>
          </cell>
          <cell r="N56" t="str">
            <v>Site 101 &amp; Site 106</v>
          </cell>
          <cell r="O56" t="str">
            <v>Berpotensi terjadi Commcase</v>
          </cell>
          <cell r="P56" t="str">
            <v>Tidak berpotensi hard comcase</v>
          </cell>
          <cell r="Q56" t="str">
            <v>2033-03-06 00:00:00</v>
          </cell>
          <cell r="R56">
            <v>2033</v>
          </cell>
          <cell r="S56" t="str">
            <v>30 Days</v>
          </cell>
          <cell r="T56" t="str">
            <v>20M</v>
          </cell>
          <cell r="U56" t="str">
            <v>No Need STR</v>
          </cell>
          <cell r="V56" t="str">
            <v>20m</v>
          </cell>
          <cell r="W56" t="str">
            <v>OK</v>
          </cell>
          <cell r="AC56" t="str">
            <v>SMP2TRNGKDL-SUCIKALER</v>
          </cell>
          <cell r="AD56" t="str">
            <v>GREEN FIELD</v>
          </cell>
          <cell r="AE56" t="str">
            <v>SST</v>
          </cell>
          <cell r="AF56">
            <v>52</v>
          </cell>
          <cell r="AM56" t="str">
            <v>Go</v>
          </cell>
          <cell r="AO56">
            <v>120465109</v>
          </cell>
          <cell r="AP56" t="str">
            <v>SMP2TRNGKDL-SUCIKALER</v>
          </cell>
          <cell r="AQ56">
            <v>-7.2074100000000003</v>
          </cell>
          <cell r="AR56">
            <v>107.90976999999999</v>
          </cell>
          <cell r="AS56" t="str">
            <v>TBG GROUP</v>
          </cell>
          <cell r="AT56" t="str">
            <v>TBG</v>
          </cell>
          <cell r="AU56" t="str">
            <v>JAWA</v>
          </cell>
          <cell r="AV56" t="str">
            <v>JAWA BARAT</v>
          </cell>
          <cell r="AW56" t="str">
            <v>KAB. GARUT</v>
          </cell>
          <cell r="AX56" t="str">
            <v>GARUT KOTA</v>
          </cell>
          <cell r="AY56" t="str">
            <v>GREEN FIELD</v>
          </cell>
          <cell r="AZ56" t="str">
            <v>SST</v>
          </cell>
          <cell r="BA56">
            <v>52</v>
          </cell>
          <cell r="BB56">
            <v>0</v>
          </cell>
          <cell r="BC56">
            <v>0</v>
          </cell>
          <cell r="BD56" t="str">
            <v>Go</v>
          </cell>
        </row>
        <row r="57">
          <cell r="B57">
            <v>121075104</v>
          </cell>
          <cell r="C57" t="str">
            <v>TBG GROUP</v>
          </cell>
          <cell r="D57" t="str">
            <v>TBG</v>
          </cell>
          <cell r="E57" t="str">
            <v>JAWA</v>
          </cell>
          <cell r="F57" t="str">
            <v>JAWA BARAT</v>
          </cell>
          <cell r="G57" t="str">
            <v>KAB. GARUT</v>
          </cell>
          <cell r="H57" t="str">
            <v>LEUWIGOONG</v>
          </cell>
          <cell r="I57" t="str">
            <v>GREEN FIELD</v>
          </cell>
          <cell r="J57" t="str">
            <v>SST</v>
          </cell>
          <cell r="K57">
            <v>-7.0994099999999998</v>
          </cell>
          <cell r="L57">
            <v>107.95774</v>
          </cell>
          <cell r="M57" t="str">
            <v>Ready for Integration (RFI)</v>
          </cell>
          <cell r="N57" t="str">
            <v>Site 101 &amp; Site 106</v>
          </cell>
          <cell r="O57" t="str">
            <v>Berpotensi terjadi Commcase</v>
          </cell>
          <cell r="P57" t="str">
            <v>Tidak berpotensi hard comcase</v>
          </cell>
          <cell r="Q57" t="str">
            <v>2030-05-24 00:00:00</v>
          </cell>
          <cell r="R57">
            <v>2030</v>
          </cell>
          <cell r="S57" t="str">
            <v>30 Days</v>
          </cell>
          <cell r="T57" t="str">
            <v>20M</v>
          </cell>
          <cell r="U57" t="str">
            <v>No Need STR</v>
          </cell>
          <cell r="V57" t="str">
            <v>20m</v>
          </cell>
          <cell r="W57" t="str">
            <v>OK</v>
          </cell>
          <cell r="AC57" t="str">
            <v>LEUWIGOONG</v>
          </cell>
          <cell r="AD57" t="str">
            <v>GREEN FIELD</v>
          </cell>
          <cell r="AE57" t="str">
            <v>SST</v>
          </cell>
          <cell r="AF57">
            <v>70</v>
          </cell>
          <cell r="AM57" t="str">
            <v>Go</v>
          </cell>
          <cell r="AO57">
            <v>121075104</v>
          </cell>
          <cell r="AP57" t="str">
            <v>LEUWIGOONG</v>
          </cell>
          <cell r="AQ57">
            <v>-7.0994099999999998</v>
          </cell>
          <cell r="AR57">
            <v>107.95774</v>
          </cell>
          <cell r="AS57" t="str">
            <v>TBG GROUP</v>
          </cell>
          <cell r="AT57" t="str">
            <v>TBG</v>
          </cell>
          <cell r="AU57" t="str">
            <v>JAWA</v>
          </cell>
          <cell r="AV57" t="str">
            <v>JAWA BARAT</v>
          </cell>
          <cell r="AW57" t="str">
            <v>KAB. GARUT</v>
          </cell>
          <cell r="AX57" t="str">
            <v>LEUWIGOONG</v>
          </cell>
          <cell r="AY57" t="str">
            <v>GREEN FIELD</v>
          </cell>
          <cell r="AZ57" t="str">
            <v>SST</v>
          </cell>
          <cell r="BA57">
            <v>70</v>
          </cell>
          <cell r="BB57">
            <v>0</v>
          </cell>
          <cell r="BC57">
            <v>0</v>
          </cell>
          <cell r="BD57" t="str">
            <v>Go</v>
          </cell>
        </row>
        <row r="58">
          <cell r="B58" t="str">
            <v>T000041</v>
          </cell>
          <cell r="C58" t="str">
            <v>TBG GROUP</v>
          </cell>
          <cell r="D58" t="str">
            <v>TBG</v>
          </cell>
          <cell r="E58" t="str">
            <v>JAWA</v>
          </cell>
          <cell r="F58" t="str">
            <v>JAWA TIMUR</v>
          </cell>
          <cell r="G58" t="str">
            <v>KOTA SURABAYA</v>
          </cell>
          <cell r="H58" t="str">
            <v>GUBENG</v>
          </cell>
          <cell r="I58" t="str">
            <v>ROOF TOP</v>
          </cell>
          <cell r="J58" t="str">
            <v>SST</v>
          </cell>
          <cell r="K58">
            <v>-7.2681499999999986</v>
          </cell>
          <cell r="L58">
            <v>112.76103999999999</v>
          </cell>
          <cell r="M58" t="str">
            <v>Ready for Integration (RFI)</v>
          </cell>
          <cell r="N58" t="str">
            <v>Site 101 &amp; Site 106</v>
          </cell>
          <cell r="O58" t="str">
            <v>Berpotensi terjadi Commcase</v>
          </cell>
          <cell r="P58" t="str">
            <v>Tidak berpotensi hard comcase</v>
          </cell>
          <cell r="Q58" t="str">
            <v>2027-05-31 00:00:00</v>
          </cell>
          <cell r="R58">
            <v>2027</v>
          </cell>
          <cell r="S58" t="str">
            <v>30 Days</v>
          </cell>
          <cell r="T58" t="str">
            <v>20M</v>
          </cell>
          <cell r="U58" t="str">
            <v>NO Need STR</v>
          </cell>
          <cell r="V58" t="str">
            <v>20m</v>
          </cell>
          <cell r="W58" t="str">
            <v>OK</v>
          </cell>
          <cell r="AC58" t="str">
            <v>GUBENG MUSTOPO</v>
          </cell>
          <cell r="AD58" t="str">
            <v>ROOF TOP</v>
          </cell>
          <cell r="AE58" t="str">
            <v>SST</v>
          </cell>
          <cell r="AF58">
            <v>37</v>
          </cell>
          <cell r="AM58" t="str">
            <v>Go</v>
          </cell>
          <cell r="AO58" t="str">
            <v>T000041</v>
          </cell>
          <cell r="AP58" t="str">
            <v>GUBENG MUSTOPO</v>
          </cell>
          <cell r="AQ58">
            <v>-7.2681499999999986</v>
          </cell>
          <cell r="AR58">
            <v>112.76103999999999</v>
          </cell>
          <cell r="AS58" t="str">
            <v>TBG GROUP</v>
          </cell>
          <cell r="AT58" t="str">
            <v>TBG</v>
          </cell>
          <cell r="AU58" t="str">
            <v>JAWA</v>
          </cell>
          <cell r="AV58" t="str">
            <v>JAWA TIMUR</v>
          </cell>
          <cell r="AW58" t="str">
            <v>KOTA SURABAYA</v>
          </cell>
          <cell r="AX58" t="str">
            <v>GUBENG</v>
          </cell>
          <cell r="AY58" t="str">
            <v>ROOF TOP</v>
          </cell>
          <cell r="AZ58" t="str">
            <v>SST</v>
          </cell>
          <cell r="BA58">
            <v>37</v>
          </cell>
          <cell r="BB58">
            <v>11</v>
          </cell>
          <cell r="BC58">
            <v>0</v>
          </cell>
          <cell r="BD58" t="str">
            <v>Go</v>
          </cell>
        </row>
        <row r="59">
          <cell r="B59">
            <v>163135126</v>
          </cell>
          <cell r="C59" t="str">
            <v>TBG GROUP</v>
          </cell>
          <cell r="D59" t="str">
            <v>TBG</v>
          </cell>
          <cell r="E59" t="str">
            <v>JAWA</v>
          </cell>
          <cell r="F59" t="str">
            <v>JAWA TIMUR</v>
          </cell>
          <cell r="G59" t="str">
            <v>KOTA SURABAYA</v>
          </cell>
          <cell r="H59" t="str">
            <v>GUBENG</v>
          </cell>
          <cell r="I59" t="str">
            <v>GREEN FIELD</v>
          </cell>
          <cell r="J59" t="str">
            <v>POLE</v>
          </cell>
          <cell r="K59">
            <v>-7.2734399999999999</v>
          </cell>
          <cell r="L59">
            <v>112.75700000000001</v>
          </cell>
          <cell r="M59" t="str">
            <v>Ready for Integration (RFI)</v>
          </cell>
          <cell r="N59" t="str">
            <v>Site 101 &amp; Site 106</v>
          </cell>
          <cell r="O59" t="str">
            <v>Oke - tidak ada issue</v>
          </cell>
          <cell r="P59" t="str">
            <v>MCP - proses perpanjangan 2026 (per 2 tahun)</v>
          </cell>
          <cell r="Q59" t="str">
            <v>2026-03-28 00:00:00</v>
          </cell>
          <cell r="R59">
            <v>2026</v>
          </cell>
          <cell r="S59" t="str">
            <v>30 Days</v>
          </cell>
          <cell r="T59" t="str">
            <v>Height not Available (&lt;21M)</v>
          </cell>
          <cell r="U59" t="str">
            <v>No Need STR @16m</v>
          </cell>
          <cell r="V59" t="str">
            <v>16m</v>
          </cell>
          <cell r="W59" t="str">
            <v>OK</v>
          </cell>
          <cell r="Z59" t="str">
            <v>TSEL</v>
          </cell>
          <cell r="AA59">
            <v>46696</v>
          </cell>
          <cell r="AB59">
            <v>2027</v>
          </cell>
          <cell r="AC59" t="str">
            <v>UNAIR DHARMAWANGSA 2</v>
          </cell>
          <cell r="AD59" t="str">
            <v>GREEN FIELD</v>
          </cell>
          <cell r="AE59" t="str">
            <v>MONO_POLE</v>
          </cell>
          <cell r="AF59">
            <v>18</v>
          </cell>
          <cell r="AM59" t="str">
            <v>Go</v>
          </cell>
          <cell r="AO59">
            <v>163135126</v>
          </cell>
          <cell r="AP59" t="str">
            <v>UNAIR DHARMAWANGSA 2</v>
          </cell>
          <cell r="AQ59">
            <v>-7.2734399999999999</v>
          </cell>
          <cell r="AR59">
            <v>112.75700000000001</v>
          </cell>
          <cell r="AS59" t="str">
            <v>TBG GROUP</v>
          </cell>
          <cell r="AT59" t="str">
            <v>TBG</v>
          </cell>
          <cell r="AU59" t="str">
            <v>JAWA</v>
          </cell>
          <cell r="AV59" t="str">
            <v>JAWA TIMUR</v>
          </cell>
          <cell r="AW59" t="str">
            <v>KOTA SURABAYA</v>
          </cell>
          <cell r="AX59" t="str">
            <v>GUBENG</v>
          </cell>
          <cell r="AY59" t="str">
            <v>GREEN FIELD</v>
          </cell>
          <cell r="AZ59" t="str">
            <v>POLE</v>
          </cell>
          <cell r="BA59">
            <v>18</v>
          </cell>
          <cell r="BB59">
            <v>0</v>
          </cell>
          <cell r="BC59">
            <v>0</v>
          </cell>
          <cell r="BD59" t="str">
            <v>Go</v>
          </cell>
        </row>
        <row r="60">
          <cell r="B60" t="str">
            <v>T000512</v>
          </cell>
          <cell r="C60" t="str">
            <v>TBG GROUP</v>
          </cell>
          <cell r="D60" t="str">
            <v>TBG</v>
          </cell>
          <cell r="E60" t="str">
            <v>JAWA</v>
          </cell>
          <cell r="F60" t="str">
            <v>JAWA TIMUR</v>
          </cell>
          <cell r="G60" t="str">
            <v>KOTA SURABAYA</v>
          </cell>
          <cell r="H60" t="str">
            <v>WONOCOLO</v>
          </cell>
          <cell r="I60" t="str">
            <v>GREEN FIELD</v>
          </cell>
          <cell r="J60" t="str">
            <v>SST</v>
          </cell>
          <cell r="K60">
            <v>-7.3185599999999988</v>
          </cell>
          <cell r="L60">
            <v>112.74363</v>
          </cell>
          <cell r="M60" t="str">
            <v>Ready for Integration (RFI)</v>
          </cell>
          <cell r="N60" t="str">
            <v>Site 101 &amp; Site 106</v>
          </cell>
          <cell r="O60" t="str">
            <v>Berpotensi terjadi Commcase</v>
          </cell>
          <cell r="P60" t="str">
            <v>Tidak berpotensi hard comcase</v>
          </cell>
          <cell r="Q60" t="str">
            <v>2027-07-17 00:00:00</v>
          </cell>
          <cell r="R60">
            <v>2027</v>
          </cell>
          <cell r="S60" t="str">
            <v>30 Days</v>
          </cell>
          <cell r="T60" t="str">
            <v>20M</v>
          </cell>
          <cell r="U60" t="str">
            <v>NO Need STR</v>
          </cell>
          <cell r="V60" t="str">
            <v>20m</v>
          </cell>
          <cell r="W60" t="str">
            <v>OK</v>
          </cell>
          <cell r="AC60" t="str">
            <v>MARHOREJO</v>
          </cell>
          <cell r="AD60" t="str">
            <v>GREEN FIELD</v>
          </cell>
          <cell r="AE60" t="str">
            <v>SST</v>
          </cell>
          <cell r="AF60">
            <v>42</v>
          </cell>
          <cell r="AM60" t="str">
            <v>Go</v>
          </cell>
          <cell r="AO60" t="str">
            <v>T000512</v>
          </cell>
          <cell r="AP60" t="str">
            <v>MARHOREJO</v>
          </cell>
          <cell r="AQ60">
            <v>-7.3185599999999988</v>
          </cell>
          <cell r="AR60">
            <v>112.74363</v>
          </cell>
          <cell r="AS60" t="str">
            <v>TBG GROUP</v>
          </cell>
          <cell r="AT60" t="str">
            <v>TBG</v>
          </cell>
          <cell r="AU60" t="str">
            <v>JAWA</v>
          </cell>
          <cell r="AV60" t="str">
            <v>JAWA TIMUR</v>
          </cell>
          <cell r="AW60" t="str">
            <v>KOTA SURABAYA</v>
          </cell>
          <cell r="AX60" t="str">
            <v>WONOCOLO</v>
          </cell>
          <cell r="AY60" t="str">
            <v>GREEN FIELD</v>
          </cell>
          <cell r="AZ60" t="str">
            <v>SST</v>
          </cell>
          <cell r="BA60">
            <v>42</v>
          </cell>
          <cell r="BB60">
            <v>0</v>
          </cell>
          <cell r="BC60">
            <v>0</v>
          </cell>
          <cell r="BD60" t="str">
            <v>Go</v>
          </cell>
        </row>
        <row r="61">
          <cell r="B61">
            <v>1649042007</v>
          </cell>
          <cell r="C61" t="str">
            <v>TBG GROUP</v>
          </cell>
          <cell r="D61" t="str">
            <v>TBG</v>
          </cell>
          <cell r="E61" t="str">
            <v>JAWA</v>
          </cell>
          <cell r="F61" t="str">
            <v>JAWA TIMUR</v>
          </cell>
          <cell r="G61" t="str">
            <v>KOTA SURABAYA</v>
          </cell>
          <cell r="H61" t="str">
            <v>TEGALSARI</v>
          </cell>
          <cell r="I61" t="str">
            <v>ROOF TOP</v>
          </cell>
          <cell r="J61" t="str">
            <v>POLE</v>
          </cell>
          <cell r="K61">
            <v>-7.2848899999999999</v>
          </cell>
          <cell r="L61">
            <v>112.73939</v>
          </cell>
          <cell r="M61" t="str">
            <v>Ready for Integration (RFI)</v>
          </cell>
          <cell r="N61" t="str">
            <v>Site 101 &amp; Site 106</v>
          </cell>
          <cell r="O61" t="str">
            <v>Berpotensi terjadi Commcase</v>
          </cell>
          <cell r="P61" t="str">
            <v>Tidak berpotensi hard comcase</v>
          </cell>
          <cell r="Q61" t="str">
            <v>2034-08-10 00:00:00</v>
          </cell>
          <cell r="R61">
            <v>2034</v>
          </cell>
          <cell r="S61" t="str">
            <v>30 Days</v>
          </cell>
          <cell r="T61" t="str">
            <v>Building Height More Than 20M</v>
          </cell>
          <cell r="U61" t="str">
            <v>No need STR @38m</v>
          </cell>
          <cell r="V61" t="str">
            <v>38m</v>
          </cell>
          <cell r="W61" t="str">
            <v>OK</v>
          </cell>
          <cell r="AC61" t="str">
            <v>IBS HOTEL MERCURE</v>
          </cell>
          <cell r="AD61" t="str">
            <v>ROOF TOP</v>
          </cell>
          <cell r="AE61" t="str">
            <v>POLE</v>
          </cell>
          <cell r="AF61">
            <v>42.5</v>
          </cell>
          <cell r="AM61" t="str">
            <v>Drop</v>
          </cell>
          <cell r="AO61">
            <v>1649042007</v>
          </cell>
          <cell r="AP61" t="str">
            <v>IBS HOTEL MERCURE</v>
          </cell>
          <cell r="AQ61">
            <v>-7.2848899999999999</v>
          </cell>
          <cell r="AR61">
            <v>112.73939</v>
          </cell>
          <cell r="AS61" t="str">
            <v>TBG GROUP</v>
          </cell>
          <cell r="AT61" t="str">
            <v>TBG</v>
          </cell>
          <cell r="AU61" t="str">
            <v>JAWA</v>
          </cell>
          <cell r="AV61" t="str">
            <v>JAWA TIMUR</v>
          </cell>
          <cell r="AW61" t="str">
            <v>KOTA SURABAYA</v>
          </cell>
          <cell r="AX61" t="str">
            <v>TEGALSARI</v>
          </cell>
          <cell r="AY61" t="str">
            <v>ROOF TOP</v>
          </cell>
          <cell r="AZ61" t="str">
            <v>POLE</v>
          </cell>
          <cell r="BA61">
            <v>42.5</v>
          </cell>
          <cell r="BB61">
            <v>36.5</v>
          </cell>
          <cell r="BC61">
            <v>0</v>
          </cell>
        </row>
        <row r="62">
          <cell r="B62">
            <v>161876109</v>
          </cell>
          <cell r="C62" t="str">
            <v>TBG GROUP</v>
          </cell>
          <cell r="D62" t="str">
            <v>TBG</v>
          </cell>
          <cell r="E62" t="str">
            <v>JAWA</v>
          </cell>
          <cell r="F62" t="str">
            <v>JAWA TIMUR</v>
          </cell>
          <cell r="G62" t="str">
            <v>KAB. SIDOARJO</v>
          </cell>
          <cell r="H62" t="str">
            <v>WARU</v>
          </cell>
          <cell r="I62" t="str">
            <v>ROOF TOP</v>
          </cell>
          <cell r="J62" t="str">
            <v>POLE</v>
          </cell>
          <cell r="K62">
            <v>-7.3509200000000003</v>
          </cell>
          <cell r="L62">
            <v>112.73339</v>
          </cell>
          <cell r="M62" t="str">
            <v>Ready for Integration (RFI)</v>
          </cell>
          <cell r="N62" t="str">
            <v>Site 101 &amp; Site 106</v>
          </cell>
          <cell r="O62" t="str">
            <v>Berpotensi terjadi Commcase</v>
          </cell>
          <cell r="P62" t="str">
            <v>Tidak berpotensi hard comcase</v>
          </cell>
          <cell r="Q62" t="str">
            <v>2035-10-20 00:00:00</v>
          </cell>
          <cell r="R62">
            <v>2035</v>
          </cell>
          <cell r="S62" t="str">
            <v>30 Days</v>
          </cell>
          <cell r="T62" t="str">
            <v>20M</v>
          </cell>
          <cell r="U62" t="str">
            <v>No need STR</v>
          </cell>
          <cell r="V62" t="str">
            <v>20m</v>
          </cell>
          <cell r="W62" t="str">
            <v>OK</v>
          </cell>
          <cell r="AC62" t="str">
            <v>MAHARDIKAWARU</v>
          </cell>
          <cell r="AD62" t="str">
            <v>ROOF TOP</v>
          </cell>
          <cell r="AE62" t="str">
            <v>POLE</v>
          </cell>
          <cell r="AF62">
            <v>25.3</v>
          </cell>
          <cell r="AM62" t="str">
            <v>Go</v>
          </cell>
          <cell r="AO62">
            <v>161876109</v>
          </cell>
          <cell r="AP62" t="str">
            <v>MAHARDIKAWARU</v>
          </cell>
          <cell r="AQ62">
            <v>-7.3509200000000003</v>
          </cell>
          <cell r="AR62">
            <v>112.73339</v>
          </cell>
          <cell r="AS62" t="str">
            <v>TBG GROUP</v>
          </cell>
          <cell r="AT62" t="str">
            <v>TBG</v>
          </cell>
          <cell r="AU62" t="str">
            <v>JAWA</v>
          </cell>
          <cell r="AV62" t="str">
            <v>JAWA TIMUR</v>
          </cell>
          <cell r="AW62" t="str">
            <v>KAB. SIDOARJO</v>
          </cell>
          <cell r="AX62" t="str">
            <v>WARU</v>
          </cell>
          <cell r="AY62" t="str">
            <v>ROOF TOP</v>
          </cell>
          <cell r="AZ62" t="str">
            <v>POLE</v>
          </cell>
          <cell r="BA62">
            <v>25.3</v>
          </cell>
          <cell r="BB62">
            <v>8.8000000000000007</v>
          </cell>
          <cell r="BC62">
            <v>0</v>
          </cell>
          <cell r="BD62" t="str">
            <v>Go</v>
          </cell>
        </row>
        <row r="63">
          <cell r="B63">
            <v>1647052007</v>
          </cell>
          <cell r="C63" t="str">
            <v>TBG GROUP</v>
          </cell>
          <cell r="D63" t="str">
            <v>TBG</v>
          </cell>
          <cell r="E63" t="str">
            <v>JAWA</v>
          </cell>
          <cell r="F63" t="str">
            <v>JAWA TIMUR</v>
          </cell>
          <cell r="G63" t="str">
            <v>KAB. SIDOARJO</v>
          </cell>
          <cell r="H63" t="str">
            <v>GEDANGAN</v>
          </cell>
          <cell r="I63" t="str">
            <v>GREEN FIELD</v>
          </cell>
          <cell r="J63" t="str">
            <v>SST</v>
          </cell>
          <cell r="K63">
            <v>-7.3676299999999957</v>
          </cell>
          <cell r="L63">
            <v>112.73314999999999</v>
          </cell>
          <cell r="M63" t="str">
            <v>Ready for Integration (RFI)</v>
          </cell>
          <cell r="N63" t="str">
            <v>Site 101 &amp; Site 106</v>
          </cell>
          <cell r="O63" t="str">
            <v>Berpotensi terjadi Commcase</v>
          </cell>
          <cell r="P63" t="str">
            <v>Tidak berpotensi hard comcase</v>
          </cell>
          <cell r="Q63" t="str">
            <v>2033-10-25 00:00:00</v>
          </cell>
          <cell r="R63">
            <v>2033</v>
          </cell>
          <cell r="S63" t="str">
            <v>30 Days</v>
          </cell>
          <cell r="T63" t="str">
            <v>20M</v>
          </cell>
          <cell r="U63" t="str">
            <v>No need STR</v>
          </cell>
          <cell r="V63" t="str">
            <v>20m</v>
          </cell>
          <cell r="W63" t="str">
            <v>OK</v>
          </cell>
          <cell r="AC63" t="str">
            <v>IBS MAKRO PEPELEGI</v>
          </cell>
          <cell r="AD63" t="str">
            <v>GREEN FIELD</v>
          </cell>
          <cell r="AE63" t="str">
            <v>SST</v>
          </cell>
          <cell r="AF63">
            <v>43</v>
          </cell>
          <cell r="AM63" t="str">
            <v>Go</v>
          </cell>
          <cell r="AO63">
            <v>1647052007</v>
          </cell>
          <cell r="AP63" t="str">
            <v>IBS MAKRO PEPELEGI</v>
          </cell>
          <cell r="AQ63">
            <v>-7.3676299999999957</v>
          </cell>
          <cell r="AR63">
            <v>112.73314999999999</v>
          </cell>
          <cell r="AS63" t="str">
            <v>TBG GROUP</v>
          </cell>
          <cell r="AT63" t="str">
            <v>TBG</v>
          </cell>
          <cell r="AU63" t="str">
            <v>JAWA</v>
          </cell>
          <cell r="AV63" t="str">
            <v>JAWA TIMUR</v>
          </cell>
          <cell r="AW63" t="str">
            <v>KAB. SIDOARJO</v>
          </cell>
          <cell r="AX63" t="str">
            <v>GEDANGAN</v>
          </cell>
          <cell r="AY63" t="str">
            <v>GREEN FIELD</v>
          </cell>
          <cell r="AZ63" t="str">
            <v>SST</v>
          </cell>
          <cell r="BA63">
            <v>43</v>
          </cell>
          <cell r="BB63">
            <v>0</v>
          </cell>
          <cell r="BC63">
            <v>0</v>
          </cell>
          <cell r="BD63" t="str">
            <v>Go</v>
          </cell>
        </row>
        <row r="64">
          <cell r="B64" t="str">
            <v>T000043</v>
          </cell>
          <cell r="C64" t="str">
            <v>TBG GROUP</v>
          </cell>
          <cell r="D64" t="str">
            <v>TBG</v>
          </cell>
          <cell r="E64" t="str">
            <v>JAWA</v>
          </cell>
          <cell r="F64" t="str">
            <v>JAWA TIMUR</v>
          </cell>
          <cell r="G64" t="str">
            <v>KOTA SURABAYA</v>
          </cell>
          <cell r="H64" t="str">
            <v>BUBUTAN</v>
          </cell>
          <cell r="I64" t="str">
            <v>ROOF TOP</v>
          </cell>
          <cell r="J64" t="str">
            <v>SST</v>
          </cell>
          <cell r="K64">
            <v>-7.2466499999999998</v>
          </cell>
          <cell r="L64">
            <v>112.73390999999999</v>
          </cell>
          <cell r="M64" t="str">
            <v>Ready for Integration (RFI)</v>
          </cell>
          <cell r="N64" t="str">
            <v>Site 101 &amp; Site 106</v>
          </cell>
          <cell r="O64" t="str">
            <v>Berpotensi terjadi Commcase</v>
          </cell>
          <cell r="P64" t="str">
            <v>Tidak berpotensi hard comcase</v>
          </cell>
          <cell r="Q64" t="str">
            <v>2033-07-04 00:00:00</v>
          </cell>
          <cell r="R64">
            <v>2033</v>
          </cell>
          <cell r="S64" t="str">
            <v>30 Days</v>
          </cell>
          <cell r="T64" t="str">
            <v>20M</v>
          </cell>
          <cell r="U64" t="str">
            <v>No need STR</v>
          </cell>
          <cell r="V64" t="str">
            <v>20m</v>
          </cell>
          <cell r="W64" t="str">
            <v>OK</v>
          </cell>
          <cell r="AC64" t="str">
            <v>PASAR TURI</v>
          </cell>
          <cell r="AD64" t="str">
            <v>ROOF TOP</v>
          </cell>
          <cell r="AE64" t="str">
            <v>SST</v>
          </cell>
          <cell r="AF64">
            <v>38</v>
          </cell>
          <cell r="AM64" t="str">
            <v>Go</v>
          </cell>
          <cell r="AO64" t="str">
            <v>T000043</v>
          </cell>
          <cell r="AP64" t="str">
            <v>PASAR TURI</v>
          </cell>
          <cell r="AQ64">
            <v>-7.2466499999999998</v>
          </cell>
          <cell r="AR64">
            <v>112.73390999999999</v>
          </cell>
          <cell r="AS64" t="str">
            <v>TBG GROUP</v>
          </cell>
          <cell r="AT64" t="str">
            <v>TBG</v>
          </cell>
          <cell r="AU64" t="str">
            <v>JAWA</v>
          </cell>
          <cell r="AV64" t="str">
            <v>JAWA TIMUR</v>
          </cell>
          <cell r="AW64" t="str">
            <v>KOTA SURABAYA</v>
          </cell>
          <cell r="AX64" t="str">
            <v>BUBUTAN</v>
          </cell>
          <cell r="AY64" t="str">
            <v>ROOF TOP</v>
          </cell>
          <cell r="AZ64" t="str">
            <v>SST</v>
          </cell>
          <cell r="BA64">
            <v>38</v>
          </cell>
          <cell r="BB64">
            <v>12</v>
          </cell>
          <cell r="BC64">
            <v>0</v>
          </cell>
          <cell r="BD64" t="str">
            <v>Go</v>
          </cell>
        </row>
        <row r="65">
          <cell r="B65">
            <v>161420110</v>
          </cell>
          <cell r="C65" t="str">
            <v>TBG GROUP</v>
          </cell>
          <cell r="D65" t="str">
            <v>TBG</v>
          </cell>
          <cell r="E65" t="str">
            <v>JAWA</v>
          </cell>
          <cell r="F65" t="str">
            <v>JAWA TIMUR</v>
          </cell>
          <cell r="G65" t="str">
            <v>KAB. SIDOARJO</v>
          </cell>
          <cell r="H65" t="str">
            <v>BUDURAN</v>
          </cell>
          <cell r="I65" t="str">
            <v>GREEN FIELD</v>
          </cell>
          <cell r="J65" t="str">
            <v>SST</v>
          </cell>
          <cell r="K65">
            <v>-7.4321300000000008</v>
          </cell>
          <cell r="L65">
            <v>112.72768000000001</v>
          </cell>
          <cell r="M65" t="str">
            <v>Ready for Integration (RFI)</v>
          </cell>
          <cell r="N65" t="str">
            <v>Site 101 &amp; Site 106</v>
          </cell>
          <cell r="O65" t="str">
            <v>Berpotensi terjadi Commcase</v>
          </cell>
          <cell r="P65" t="str">
            <v>Tidak berpotensi hard comcase</v>
          </cell>
          <cell r="Q65" t="str">
            <v>2034-07-12 00:00:00</v>
          </cell>
          <cell r="R65">
            <v>2034</v>
          </cell>
          <cell r="S65" t="str">
            <v>30 Days</v>
          </cell>
          <cell r="T65" t="str">
            <v>20M</v>
          </cell>
          <cell r="U65" t="str">
            <v>No need STR</v>
          </cell>
          <cell r="V65" t="str">
            <v>20m</v>
          </cell>
          <cell r="W65" t="str">
            <v>OK</v>
          </cell>
          <cell r="AC65" t="str">
            <v>GADING FAJAR</v>
          </cell>
          <cell r="AD65" t="str">
            <v>GREEN FIELD</v>
          </cell>
          <cell r="AE65" t="str">
            <v>SST</v>
          </cell>
          <cell r="AF65">
            <v>42</v>
          </cell>
          <cell r="AM65" t="str">
            <v>Go</v>
          </cell>
          <cell r="AO65">
            <v>161420110</v>
          </cell>
          <cell r="AP65" t="str">
            <v>GADING FAJAR</v>
          </cell>
          <cell r="AQ65">
            <v>-7.4321300000000008</v>
          </cell>
          <cell r="AR65">
            <v>112.72768000000001</v>
          </cell>
          <cell r="AS65" t="str">
            <v>TBG GROUP</v>
          </cell>
          <cell r="AT65" t="str">
            <v>TBG</v>
          </cell>
          <cell r="AU65" t="str">
            <v>JAWA</v>
          </cell>
          <cell r="AV65" t="str">
            <v>JAWA TIMUR</v>
          </cell>
          <cell r="AW65" t="str">
            <v>KAB. SIDOARJO</v>
          </cell>
          <cell r="AX65" t="str">
            <v>BUDURAN</v>
          </cell>
          <cell r="AY65" t="str">
            <v>GREEN FIELD</v>
          </cell>
          <cell r="AZ65" t="str">
            <v>SST</v>
          </cell>
          <cell r="BA65">
            <v>42</v>
          </cell>
          <cell r="BB65">
            <v>0</v>
          </cell>
          <cell r="BC65">
            <v>0</v>
          </cell>
          <cell r="BD65" t="str">
            <v>Go</v>
          </cell>
        </row>
        <row r="66">
          <cell r="B66">
            <v>1647062007</v>
          </cell>
          <cell r="C66" t="str">
            <v>TBG GROUP</v>
          </cell>
          <cell r="D66" t="str">
            <v>TBG</v>
          </cell>
          <cell r="E66" t="str">
            <v>JAWA</v>
          </cell>
          <cell r="F66" t="str">
            <v>JAWA TIMUR</v>
          </cell>
          <cell r="G66" t="str">
            <v>KAB. SIDOARJO</v>
          </cell>
          <cell r="H66" t="str">
            <v>GEDANGAN</v>
          </cell>
          <cell r="I66" t="str">
            <v>ROOF TOP</v>
          </cell>
          <cell r="J66" t="str">
            <v>POLE</v>
          </cell>
          <cell r="K66">
            <v>-7.3874499999999976</v>
          </cell>
          <cell r="L66">
            <v>112.72716</v>
          </cell>
          <cell r="M66" t="str">
            <v>Ready for Integration (RFI)</v>
          </cell>
          <cell r="N66" t="str">
            <v>Site 101 &amp; Site 106</v>
          </cell>
          <cell r="O66" t="str">
            <v>Berpotensi terjadi Commcase</v>
          </cell>
          <cell r="P66" t="str">
            <v>Tidak berpotensi hard comcase</v>
          </cell>
          <cell r="Q66" t="str">
            <v>2032-08-30 00:00:00</v>
          </cell>
          <cell r="R66">
            <v>2032</v>
          </cell>
          <cell r="S66" t="str">
            <v>30 Days</v>
          </cell>
          <cell r="T66" t="str">
            <v>20M</v>
          </cell>
          <cell r="U66" t="str">
            <v>No need STR</v>
          </cell>
          <cell r="V66" t="str">
            <v>20m</v>
          </cell>
          <cell r="W66" t="str">
            <v>OK</v>
          </cell>
          <cell r="AC66" t="str">
            <v>IBS KETAJEN</v>
          </cell>
          <cell r="AD66" t="str">
            <v>ROOF TOP</v>
          </cell>
          <cell r="AE66" t="str">
            <v>POLE</v>
          </cell>
          <cell r="AF66">
            <v>22.86</v>
          </cell>
          <cell r="AM66" t="str">
            <v>Go</v>
          </cell>
          <cell r="AO66">
            <v>1647062007</v>
          </cell>
          <cell r="AP66" t="str">
            <v>IBS KETAJEN</v>
          </cell>
          <cell r="AQ66">
            <v>-7.3874499999999976</v>
          </cell>
          <cell r="AR66">
            <v>112.72716</v>
          </cell>
          <cell r="AS66" t="str">
            <v>TBG GROUP</v>
          </cell>
          <cell r="AT66" t="str">
            <v>TBG</v>
          </cell>
          <cell r="AU66" t="str">
            <v>JAWA</v>
          </cell>
          <cell r="AV66" t="str">
            <v>JAWA TIMUR</v>
          </cell>
          <cell r="AW66" t="str">
            <v>KAB. SIDOARJO</v>
          </cell>
          <cell r="AX66" t="str">
            <v>GEDANGAN</v>
          </cell>
          <cell r="AY66" t="str">
            <v>ROOF TOP</v>
          </cell>
          <cell r="AZ66" t="str">
            <v>POLE</v>
          </cell>
          <cell r="BA66">
            <v>22.86</v>
          </cell>
          <cell r="BB66">
            <v>10.86</v>
          </cell>
          <cell r="BC66">
            <v>0</v>
          </cell>
          <cell r="BD66" t="str">
            <v>Go</v>
          </cell>
        </row>
        <row r="67">
          <cell r="B67">
            <v>163181126</v>
          </cell>
          <cell r="C67" t="str">
            <v>TBG GROUP</v>
          </cell>
          <cell r="D67" t="str">
            <v>TBG</v>
          </cell>
          <cell r="E67" t="str">
            <v>JAWA</v>
          </cell>
          <cell r="F67" t="str">
            <v>JAWA TIMUR</v>
          </cell>
          <cell r="G67" t="str">
            <v>KAB. SIDOARJO</v>
          </cell>
          <cell r="H67" t="str">
            <v>BUDURAN</v>
          </cell>
          <cell r="I67" t="str">
            <v>GREEN FIELD</v>
          </cell>
          <cell r="J67" t="str">
            <v>POLE</v>
          </cell>
          <cell r="K67">
            <v>-7.442109999999996</v>
          </cell>
          <cell r="L67">
            <v>112.71442</v>
          </cell>
          <cell r="M67" t="str">
            <v>Ready for Integration (RFI)</v>
          </cell>
          <cell r="N67" t="str">
            <v>Site 101 &amp; Site 106</v>
          </cell>
          <cell r="O67" t="str">
            <v>Berpotensi terjadi Commcase</v>
          </cell>
          <cell r="P67" t="str">
            <v>Tidak berpotensi hard comcase</v>
          </cell>
          <cell r="S67" t="str">
            <v>30 Days</v>
          </cell>
          <cell r="T67" t="str">
            <v>Height not Available (&lt;21M)</v>
          </cell>
          <cell r="U67" t="str">
            <v>No Need STR @18m</v>
          </cell>
          <cell r="V67" t="str">
            <v>18m</v>
          </cell>
          <cell r="W67" t="str">
            <v>OK</v>
          </cell>
          <cell r="Z67" t="str">
            <v>No Tenant</v>
          </cell>
          <cell r="AC67" t="str">
            <v>PAGERWOJO-SUNGKONO</v>
          </cell>
          <cell r="AD67" t="str">
            <v>GREEN FIELD</v>
          </cell>
          <cell r="AE67" t="str">
            <v>MONO_POLE</v>
          </cell>
          <cell r="AF67">
            <v>18</v>
          </cell>
          <cell r="AM67" t="str">
            <v>Go</v>
          </cell>
          <cell r="AO67">
            <v>163181126</v>
          </cell>
          <cell r="AP67" t="str">
            <v>PAGERWOJO-SUNGKONO</v>
          </cell>
          <cell r="AQ67">
            <v>-7.442109999999996</v>
          </cell>
          <cell r="AR67">
            <v>112.71442</v>
          </cell>
          <cell r="AS67" t="str">
            <v>TBG GROUP</v>
          </cell>
          <cell r="AT67" t="str">
            <v>TBG</v>
          </cell>
          <cell r="AU67" t="str">
            <v>JAWA</v>
          </cell>
          <cell r="AV67" t="str">
            <v>JAWA TIMUR</v>
          </cell>
          <cell r="AW67" t="str">
            <v>KAB. SIDOARJO</v>
          </cell>
          <cell r="AX67" t="str">
            <v>BUDURAN</v>
          </cell>
          <cell r="AY67" t="str">
            <v>GREEN FIELD</v>
          </cell>
          <cell r="AZ67" t="str">
            <v>POLE</v>
          </cell>
          <cell r="BA67">
            <v>18</v>
          </cell>
          <cell r="BB67">
            <v>0</v>
          </cell>
          <cell r="BC67">
            <v>0</v>
          </cell>
          <cell r="BD67" t="str">
            <v>Go</v>
          </cell>
        </row>
        <row r="68">
          <cell r="B68">
            <v>1649262007</v>
          </cell>
          <cell r="C68" t="str">
            <v>TBG GROUP</v>
          </cell>
          <cell r="D68" t="str">
            <v>TBG</v>
          </cell>
          <cell r="E68" t="str">
            <v>JAWA</v>
          </cell>
          <cell r="F68" t="str">
            <v>JAWA TIMUR</v>
          </cell>
          <cell r="G68" t="str">
            <v>KAB. SIDOARJO</v>
          </cell>
          <cell r="H68" t="str">
            <v>SIDOARJO</v>
          </cell>
          <cell r="I68" t="str">
            <v>ROOF TOP</v>
          </cell>
          <cell r="J68" t="str">
            <v>POLE</v>
          </cell>
          <cell r="K68">
            <v>-7.449110000000001</v>
          </cell>
          <cell r="L68">
            <v>112.71008999999999</v>
          </cell>
          <cell r="M68" t="str">
            <v>Ready for Integration (RFI)</v>
          </cell>
          <cell r="N68" t="str">
            <v>Site 101 &amp; Site 106</v>
          </cell>
          <cell r="O68" t="str">
            <v>Berpotensi terjadi Commcase</v>
          </cell>
          <cell r="P68" t="str">
            <v>Tidak berpotensi hard comcase</v>
          </cell>
          <cell r="Q68" t="str">
            <v>2027-11-14 00:00:00</v>
          </cell>
          <cell r="R68">
            <v>2027</v>
          </cell>
          <cell r="S68" t="str">
            <v>30 Days</v>
          </cell>
          <cell r="T68" t="str">
            <v>Building Height More Than 20M</v>
          </cell>
          <cell r="U68" t="str">
            <v>No need STR @23m</v>
          </cell>
          <cell r="V68" t="str">
            <v>23m</v>
          </cell>
          <cell r="W68" t="str">
            <v>OK</v>
          </cell>
          <cell r="AC68" t="str">
            <v>IBS SUN CITY</v>
          </cell>
          <cell r="AD68" t="str">
            <v>ROOF TOP</v>
          </cell>
          <cell r="AE68" t="str">
            <v>POLE</v>
          </cell>
          <cell r="AF68">
            <v>25.03</v>
          </cell>
          <cell r="AM68" t="str">
            <v>Go</v>
          </cell>
          <cell r="AO68">
            <v>1649262007</v>
          </cell>
          <cell r="AP68" t="str">
            <v>IBS SUN CITY</v>
          </cell>
          <cell r="AQ68">
            <v>-7.449110000000001</v>
          </cell>
          <cell r="AR68">
            <v>112.71008999999999</v>
          </cell>
          <cell r="AS68" t="str">
            <v>TBG GROUP</v>
          </cell>
          <cell r="AT68" t="str">
            <v>TBG</v>
          </cell>
          <cell r="AU68" t="str">
            <v>JAWA</v>
          </cell>
          <cell r="AV68" t="str">
            <v>JAWA TIMUR</v>
          </cell>
          <cell r="AW68" t="str">
            <v>KAB. SIDOARJO</v>
          </cell>
          <cell r="AX68" t="str">
            <v>SIDOARJO</v>
          </cell>
          <cell r="AY68" t="str">
            <v>ROOF TOP</v>
          </cell>
          <cell r="AZ68" t="str">
            <v>POLE</v>
          </cell>
          <cell r="BA68">
            <v>25.03</v>
          </cell>
          <cell r="BB68">
            <v>18.52</v>
          </cell>
          <cell r="BC68">
            <v>3.51</v>
          </cell>
          <cell r="BD68" t="str">
            <v>Go</v>
          </cell>
        </row>
        <row r="69">
          <cell r="B69">
            <v>150123109</v>
          </cell>
          <cell r="C69" t="str">
            <v>TBG GROUP</v>
          </cell>
          <cell r="D69" t="str">
            <v>TBG</v>
          </cell>
          <cell r="E69" t="str">
            <v>JAWA</v>
          </cell>
          <cell r="F69" t="str">
            <v>DAERAH ISTIMEWA YOGYAKARTA</v>
          </cell>
          <cell r="G69" t="str">
            <v>KOTA YOGYAKARTA</v>
          </cell>
          <cell r="H69" t="str">
            <v>JETIS</v>
          </cell>
          <cell r="I69" t="str">
            <v>ROOF TOP</v>
          </cell>
          <cell r="J69" t="str">
            <v>POLE</v>
          </cell>
          <cell r="K69">
            <v>-7.7882699999999998</v>
          </cell>
          <cell r="L69">
            <v>110.358</v>
          </cell>
          <cell r="M69" t="str">
            <v>Ready for Integration (RFI)</v>
          </cell>
          <cell r="N69" t="str">
            <v>Site 101 &amp; Site 106</v>
          </cell>
          <cell r="O69" t="str">
            <v>Berpotensi terjadi Commcase</v>
          </cell>
          <cell r="P69" t="str">
            <v>Tidak berpotensi hard comcase</v>
          </cell>
          <cell r="Q69" t="str">
            <v>2033-09-26 00:00:00</v>
          </cell>
          <cell r="R69">
            <v>2033</v>
          </cell>
          <cell r="S69" t="str">
            <v>30 Days</v>
          </cell>
          <cell r="T69" t="str">
            <v>20M</v>
          </cell>
          <cell r="U69" t="str">
            <v>No need STR</v>
          </cell>
          <cell r="V69" t="str">
            <v>20m</v>
          </cell>
          <cell r="W69" t="str">
            <v>OK</v>
          </cell>
          <cell r="AC69" t="str">
            <v>BUMIJO TBG</v>
          </cell>
          <cell r="AD69" t="str">
            <v>ROOF TOP</v>
          </cell>
          <cell r="AE69" t="str">
            <v>POLE</v>
          </cell>
          <cell r="AF69">
            <v>27.080000000000002</v>
          </cell>
          <cell r="AM69" t="str">
            <v>Go</v>
          </cell>
          <cell r="AO69">
            <v>150123109</v>
          </cell>
          <cell r="AP69" t="str">
            <v>BUMIJO TBG</v>
          </cell>
          <cell r="AQ69">
            <v>-7.7882699999999998</v>
          </cell>
          <cell r="AR69">
            <v>110.358</v>
          </cell>
          <cell r="AS69" t="str">
            <v>TBG GROUP</v>
          </cell>
          <cell r="AT69" t="str">
            <v>TBG</v>
          </cell>
          <cell r="AU69" t="str">
            <v>JAWA</v>
          </cell>
          <cell r="AV69" t="str">
            <v>DAERAH ISTIMEWA YOGYAKARTA</v>
          </cell>
          <cell r="AW69" t="str">
            <v>KOTA YOGYAKARTA</v>
          </cell>
          <cell r="AX69" t="str">
            <v>JETIS</v>
          </cell>
          <cell r="AY69" t="str">
            <v>ROOF TOP</v>
          </cell>
          <cell r="AZ69" t="str">
            <v>POLE</v>
          </cell>
          <cell r="BA69">
            <v>27.080000000000002</v>
          </cell>
          <cell r="BB69">
            <v>8.0299999999999994</v>
          </cell>
          <cell r="BC69">
            <v>7.05</v>
          </cell>
          <cell r="BD69" t="str">
            <v>Go</v>
          </cell>
        </row>
        <row r="70">
          <cell r="B70">
            <v>1508992007</v>
          </cell>
          <cell r="C70" t="str">
            <v>TBG GROUP</v>
          </cell>
          <cell r="D70" t="str">
            <v>TBG</v>
          </cell>
          <cell r="E70" t="str">
            <v>JAWA</v>
          </cell>
          <cell r="F70" t="str">
            <v>DAERAH ISTIMEWA YOGYAKARTA</v>
          </cell>
          <cell r="G70" t="str">
            <v>KOTA YOGYAKARTA</v>
          </cell>
          <cell r="H70" t="str">
            <v>GEDONGTENGEN</v>
          </cell>
          <cell r="I70" t="str">
            <v>ROOF TOP</v>
          </cell>
          <cell r="J70" t="str">
            <v>POLE</v>
          </cell>
          <cell r="K70">
            <v>-7.7944699999999987</v>
          </cell>
          <cell r="L70">
            <v>110.35648999999999</v>
          </cell>
          <cell r="M70" t="str">
            <v>Ready for Integration (RFI)</v>
          </cell>
          <cell r="N70" t="str">
            <v>Site 101 &amp; Site 106</v>
          </cell>
          <cell r="O70" t="str">
            <v>Berpotensi terjadi Commcase</v>
          </cell>
          <cell r="P70" t="str">
            <v>Tidak berpotensi hard comcase</v>
          </cell>
          <cell r="Q70" t="str">
            <v>2028-02-20 00:00:00</v>
          </cell>
          <cell r="R70">
            <v>2028</v>
          </cell>
          <cell r="S70" t="str">
            <v>60 Days</v>
          </cell>
          <cell r="T70" t="str">
            <v>20M</v>
          </cell>
          <cell r="U70" t="str">
            <v>Need STR No Paralel @20m</v>
          </cell>
          <cell r="V70" t="str">
            <v>20m</v>
          </cell>
          <cell r="W70" t="str">
            <v>OK</v>
          </cell>
          <cell r="AC70" t="str">
            <v>IBS MEGAH SERVICE</v>
          </cell>
          <cell r="AD70" t="str">
            <v>ROOF TOP</v>
          </cell>
          <cell r="AE70" t="str">
            <v>POLE</v>
          </cell>
          <cell r="AF70">
            <v>20.5</v>
          </cell>
          <cell r="AM70" t="str">
            <v>Hold</v>
          </cell>
          <cell r="AO70">
            <v>1508992007</v>
          </cell>
          <cell r="AP70" t="str">
            <v>IBS MEGAH SERVICE</v>
          </cell>
          <cell r="AQ70">
            <v>-7.7944699999999987</v>
          </cell>
          <cell r="AR70">
            <v>110.35648999999999</v>
          </cell>
          <cell r="AS70" t="str">
            <v>TBG GROUP</v>
          </cell>
          <cell r="AT70" t="str">
            <v>TBG</v>
          </cell>
          <cell r="AU70" t="str">
            <v>JAWA</v>
          </cell>
          <cell r="AV70" t="str">
            <v>DAERAH ISTIMEWA YOGYAKARTA</v>
          </cell>
          <cell r="AW70" t="str">
            <v>KOTA YOGYAKARTA</v>
          </cell>
          <cell r="AX70" t="str">
            <v>GEDONGTENGEN</v>
          </cell>
          <cell r="AY70" t="str">
            <v>ROOF TOP</v>
          </cell>
          <cell r="AZ70" t="str">
            <v>POLE</v>
          </cell>
          <cell r="BA70">
            <v>20.5</v>
          </cell>
          <cell r="BB70">
            <v>12</v>
          </cell>
          <cell r="BC70">
            <v>2.5</v>
          </cell>
        </row>
        <row r="71">
          <cell r="B71">
            <v>150235110</v>
          </cell>
          <cell r="C71" t="str">
            <v>TBG GROUP</v>
          </cell>
          <cell r="D71" t="str">
            <v>TBG</v>
          </cell>
          <cell r="E71" t="str">
            <v>JAWA</v>
          </cell>
          <cell r="F71" t="str">
            <v>DAERAH ISTIMEWA YOGYAKARTA</v>
          </cell>
          <cell r="G71" t="str">
            <v>KOTA YOGYAKARTA</v>
          </cell>
          <cell r="H71" t="str">
            <v>GONDOKUSUMAN</v>
          </cell>
          <cell r="I71" t="str">
            <v>ROOF TOP</v>
          </cell>
          <cell r="J71" t="str">
            <v>POLE</v>
          </cell>
          <cell r="K71">
            <v>-7.7940199999999988</v>
          </cell>
          <cell r="L71">
            <v>110.38303999999999</v>
          </cell>
          <cell r="M71" t="str">
            <v>Ready for Integration (RFI)</v>
          </cell>
          <cell r="N71" t="str">
            <v>Site 101 &amp; Site 106</v>
          </cell>
          <cell r="O71" t="str">
            <v>Berpotensi terjadi Commcase</v>
          </cell>
          <cell r="P71" t="str">
            <v>Tidak berpotensi hard comcase</v>
          </cell>
          <cell r="Q71">
            <v>47811</v>
          </cell>
          <cell r="R71">
            <v>2030</v>
          </cell>
          <cell r="S71" t="str">
            <v>30 Days</v>
          </cell>
          <cell r="T71" t="str">
            <v>20M</v>
          </cell>
          <cell r="U71" t="str">
            <v>No need STR</v>
          </cell>
          <cell r="V71" t="str">
            <v>20m</v>
          </cell>
          <cell r="W71" t="str">
            <v>OK</v>
          </cell>
          <cell r="AC71" t="str">
            <v>3G_MANDALA KRIDA RELOCATION</v>
          </cell>
          <cell r="AD71" t="str">
            <v>ROOF TOP</v>
          </cell>
          <cell r="AE71" t="str">
            <v>POLE</v>
          </cell>
          <cell r="AF71">
            <v>21</v>
          </cell>
          <cell r="AM71" t="str">
            <v>Go</v>
          </cell>
          <cell r="AO71">
            <v>150235110</v>
          </cell>
          <cell r="AP71" t="str">
            <v>3G_MANDALA KRIDA RELOCATION</v>
          </cell>
          <cell r="AQ71">
            <v>-7.7940199999999988</v>
          </cell>
          <cell r="AR71">
            <v>110.38303999999999</v>
          </cell>
          <cell r="AS71" t="str">
            <v>TBG GROUP</v>
          </cell>
          <cell r="AT71" t="str">
            <v>TBG</v>
          </cell>
          <cell r="AU71" t="str">
            <v>JAWA</v>
          </cell>
          <cell r="AV71" t="str">
            <v>DAERAH ISTIMEWA YOGYAKARTA</v>
          </cell>
          <cell r="AW71" t="str">
            <v>KOTA YOGYAKARTA</v>
          </cell>
          <cell r="AX71" t="str">
            <v>GONDOKUSUMAN</v>
          </cell>
          <cell r="AY71" t="str">
            <v>ROOF TOP</v>
          </cell>
          <cell r="AZ71" t="str">
            <v>POLE</v>
          </cell>
          <cell r="BA71">
            <v>21</v>
          </cell>
          <cell r="BB71">
            <v>11</v>
          </cell>
          <cell r="BC71">
            <v>4</v>
          </cell>
          <cell r="BD71" t="str">
            <v>Go</v>
          </cell>
        </row>
        <row r="72">
          <cell r="B72">
            <v>160435109</v>
          </cell>
          <cell r="C72" t="str">
            <v>TBG GROUP</v>
          </cell>
          <cell r="D72" t="str">
            <v>TBG</v>
          </cell>
          <cell r="E72" t="str">
            <v>JAWA</v>
          </cell>
          <cell r="F72" t="str">
            <v>JAWA TIMUR</v>
          </cell>
          <cell r="G72" t="str">
            <v>KOTA SURABAYA</v>
          </cell>
          <cell r="H72" t="str">
            <v>TANDES</v>
          </cell>
          <cell r="I72" t="str">
            <v>GREEN FIELD</v>
          </cell>
          <cell r="J72" t="str">
            <v>SST</v>
          </cell>
          <cell r="K72">
            <v>-7.2575700000000003</v>
          </cell>
          <cell r="L72">
            <v>112.67807999999999</v>
          </cell>
          <cell r="M72" t="str">
            <v>Ready for Integration (RFI)</v>
          </cell>
          <cell r="N72" t="str">
            <v>Site 101 &amp; Site 106</v>
          </cell>
          <cell r="O72" t="str">
            <v>Berpotensi terjadi Commcase</v>
          </cell>
          <cell r="P72" t="str">
            <v>Tidak berpotensi hard comcase</v>
          </cell>
          <cell r="Q72" t="str">
            <v>Owned</v>
          </cell>
          <cell r="R72" t="str">
            <v>Owned</v>
          </cell>
          <cell r="S72" t="str">
            <v>30 Days</v>
          </cell>
          <cell r="T72" t="str">
            <v>20M</v>
          </cell>
          <cell r="U72" t="str">
            <v>NO Need STR</v>
          </cell>
          <cell r="V72" t="str">
            <v>20m</v>
          </cell>
          <cell r="W72" t="str">
            <v>OK</v>
          </cell>
          <cell r="AC72" t="str">
            <v>MARGOMULYO RELOK</v>
          </cell>
          <cell r="AD72" t="str">
            <v>GREEN FIELD</v>
          </cell>
          <cell r="AE72" t="str">
            <v>SST</v>
          </cell>
          <cell r="AF72">
            <v>42</v>
          </cell>
          <cell r="AM72" t="str">
            <v>Go</v>
          </cell>
          <cell r="AO72">
            <v>160435109</v>
          </cell>
          <cell r="AP72" t="str">
            <v>MARGOMULYO RELOK</v>
          </cell>
          <cell r="AQ72">
            <v>-7.2575700000000003</v>
          </cell>
          <cell r="AR72">
            <v>112.67807999999999</v>
          </cell>
          <cell r="AS72" t="str">
            <v>TBG GROUP</v>
          </cell>
          <cell r="AT72" t="str">
            <v>TBG</v>
          </cell>
          <cell r="AU72" t="str">
            <v>JAWA</v>
          </cell>
          <cell r="AV72" t="str">
            <v>JAWA TIMUR</v>
          </cell>
          <cell r="AW72" t="str">
            <v>KOTA SURABAYA</v>
          </cell>
          <cell r="AX72" t="str">
            <v>TANDES</v>
          </cell>
          <cell r="AY72" t="str">
            <v>GREEN FIELD</v>
          </cell>
          <cell r="AZ72" t="str">
            <v>SST</v>
          </cell>
          <cell r="BA72">
            <v>42</v>
          </cell>
          <cell r="BB72">
            <v>0</v>
          </cell>
          <cell r="BC72">
            <v>0</v>
          </cell>
          <cell r="BD72" t="str">
            <v>Go</v>
          </cell>
        </row>
        <row r="73">
          <cell r="B73">
            <v>1510341001</v>
          </cell>
          <cell r="C73" t="str">
            <v>TBG GROUP</v>
          </cell>
          <cell r="D73" t="str">
            <v>TBG</v>
          </cell>
          <cell r="E73" t="str">
            <v>JAWA</v>
          </cell>
          <cell r="F73" t="str">
            <v>DAERAH ISTIMEWA YOGYAKARTA</v>
          </cell>
          <cell r="G73" t="str">
            <v>KOTA YOGYAKARTA</v>
          </cell>
          <cell r="H73" t="str">
            <v>GONDOKUSUMAN</v>
          </cell>
          <cell r="I73" t="str">
            <v>GREEN FIELD</v>
          </cell>
          <cell r="J73" t="str">
            <v>POLE</v>
          </cell>
          <cell r="K73">
            <v>-7.7818899999999998</v>
          </cell>
          <cell r="L73">
            <v>110.37645999999999</v>
          </cell>
          <cell r="M73" t="str">
            <v>Ready for Integration (RFI)</v>
          </cell>
          <cell r="N73" t="str">
            <v>Site 101 &amp; Site 106</v>
          </cell>
          <cell r="O73" t="str">
            <v>Berpotensi terjadi Commcase</v>
          </cell>
          <cell r="P73" t="str">
            <v>Tidak berpotensi hard comcase</v>
          </cell>
          <cell r="Q73" t="str">
            <v>2028-10-31 00:00:00</v>
          </cell>
          <cell r="R73">
            <v>2028</v>
          </cell>
          <cell r="S73" t="str">
            <v>30 Days</v>
          </cell>
          <cell r="T73" t="str">
            <v>20M</v>
          </cell>
          <cell r="U73" t="str">
            <v>No need STR</v>
          </cell>
          <cell r="V73" t="str">
            <v>20m</v>
          </cell>
          <cell r="W73" t="str">
            <v>OK</v>
          </cell>
          <cell r="AC73" t="str">
            <v>GRAPHARI YOGYA RELOK</v>
          </cell>
          <cell r="AD73" t="str">
            <v>GREEN FIELD</v>
          </cell>
          <cell r="AE73" t="str">
            <v>MONO_POLE</v>
          </cell>
          <cell r="AF73">
            <v>28</v>
          </cell>
          <cell r="AM73" t="str">
            <v>Go</v>
          </cell>
          <cell r="AO73">
            <v>1510341001</v>
          </cell>
          <cell r="AP73" t="str">
            <v>GRAPHARI YOGYA RELOK</v>
          </cell>
          <cell r="AQ73">
            <v>-7.7818899999999998</v>
          </cell>
          <cell r="AR73">
            <v>110.37645999999999</v>
          </cell>
          <cell r="AS73" t="str">
            <v>TBG GROUP</v>
          </cell>
          <cell r="AT73" t="str">
            <v>TBG</v>
          </cell>
          <cell r="AU73" t="str">
            <v>JAWA</v>
          </cell>
          <cell r="AV73" t="str">
            <v>DAERAH ISTIMEWA YOGYAKARTA</v>
          </cell>
          <cell r="AW73" t="str">
            <v>KOTA YOGYAKARTA</v>
          </cell>
          <cell r="AX73" t="str">
            <v>GONDOKUSUMAN</v>
          </cell>
          <cell r="AY73" t="str">
            <v>GREEN FIELD</v>
          </cell>
          <cell r="AZ73" t="str">
            <v>POLE</v>
          </cell>
          <cell r="BA73">
            <v>28</v>
          </cell>
          <cell r="BB73">
            <v>0</v>
          </cell>
          <cell r="BC73">
            <v>0</v>
          </cell>
          <cell r="BD73" t="str">
            <v>Go</v>
          </cell>
        </row>
        <row r="74">
          <cell r="B74">
            <v>122861109</v>
          </cell>
          <cell r="C74" t="str">
            <v>TBG GROUP</v>
          </cell>
          <cell r="D74" t="str">
            <v>TBG</v>
          </cell>
          <cell r="E74" t="str">
            <v>JAWA</v>
          </cell>
          <cell r="F74" t="str">
            <v>JAWA BARAT</v>
          </cell>
          <cell r="G74" t="str">
            <v>KOTA BANJAR</v>
          </cell>
          <cell r="H74" t="str">
            <v>PATARUMAN</v>
          </cell>
          <cell r="I74" t="str">
            <v>GREEN FIELD</v>
          </cell>
          <cell r="J74" t="str">
            <v>SST</v>
          </cell>
          <cell r="K74">
            <v>-7.3801799999999984</v>
          </cell>
          <cell r="L74">
            <v>108.54288</v>
          </cell>
          <cell r="M74" t="str">
            <v>Ready for Integration (RFI)</v>
          </cell>
          <cell r="N74" t="str">
            <v>Site 101 &amp; Site 106</v>
          </cell>
          <cell r="O74" t="str">
            <v>Berpotensi terjadi Commcase</v>
          </cell>
          <cell r="P74" t="str">
            <v>Tidak berpotensi hard comcase</v>
          </cell>
          <cell r="Q74" t="str">
            <v>2035-03-14 00:00:00</v>
          </cell>
          <cell r="R74">
            <v>2035</v>
          </cell>
          <cell r="S74" t="str">
            <v>30 Days</v>
          </cell>
          <cell r="T74" t="str">
            <v>20M</v>
          </cell>
          <cell r="U74" t="str">
            <v>No Need STR</v>
          </cell>
          <cell r="V74" t="str">
            <v>20m</v>
          </cell>
          <cell r="W74" t="str">
            <v>OK</v>
          </cell>
          <cell r="AC74" t="str">
            <v>BANJARKOTA-EGASARI</v>
          </cell>
          <cell r="AD74" t="str">
            <v>GREEN FIELD</v>
          </cell>
          <cell r="AE74" t="str">
            <v>SST</v>
          </cell>
          <cell r="AF74">
            <v>32</v>
          </cell>
          <cell r="AM74" t="str">
            <v>Go</v>
          </cell>
          <cell r="AO74">
            <v>122861109</v>
          </cell>
          <cell r="AP74" t="str">
            <v>BANJARKOTA-EGASARI</v>
          </cell>
          <cell r="AQ74">
            <v>-7.3801799999999984</v>
          </cell>
          <cell r="AR74">
            <v>108.54288</v>
          </cell>
          <cell r="AS74" t="str">
            <v>TBG GROUP</v>
          </cell>
          <cell r="AT74" t="str">
            <v>TBG</v>
          </cell>
          <cell r="AU74" t="str">
            <v>JAWA</v>
          </cell>
          <cell r="AV74" t="str">
            <v>JAWA BARAT</v>
          </cell>
          <cell r="AW74" t="str">
            <v>KOTA BANJAR</v>
          </cell>
          <cell r="AX74" t="str">
            <v>PATARUMAN</v>
          </cell>
          <cell r="AY74" t="str">
            <v>GREEN FIELD</v>
          </cell>
          <cell r="AZ74" t="str">
            <v>SST</v>
          </cell>
          <cell r="BA74">
            <v>32</v>
          </cell>
          <cell r="BB74">
            <v>0</v>
          </cell>
          <cell r="BC74">
            <v>0</v>
          </cell>
          <cell r="BD74" t="str">
            <v>Go</v>
          </cell>
        </row>
        <row r="75">
          <cell r="B75">
            <v>120851104</v>
          </cell>
          <cell r="C75" t="str">
            <v>TBG GROUP</v>
          </cell>
          <cell r="D75" t="str">
            <v>TBG</v>
          </cell>
          <cell r="E75" t="str">
            <v>JAWA</v>
          </cell>
          <cell r="F75" t="str">
            <v>JAWA BARAT</v>
          </cell>
          <cell r="G75" t="str">
            <v>KOTA BANJAR</v>
          </cell>
          <cell r="H75" t="str">
            <v>BANJAR</v>
          </cell>
          <cell r="I75" t="str">
            <v>GREEN FIELD</v>
          </cell>
          <cell r="J75" t="str">
            <v>SST</v>
          </cell>
          <cell r="K75">
            <v>-7.3776700000000002</v>
          </cell>
          <cell r="L75">
            <v>108.5373</v>
          </cell>
          <cell r="M75" t="str">
            <v>Ready for Integration (RFI)</v>
          </cell>
          <cell r="N75" t="str">
            <v>Site 101 &amp; Site 106</v>
          </cell>
          <cell r="O75" t="str">
            <v>Berpotensi terjadi Commcase</v>
          </cell>
          <cell r="P75" t="str">
            <v>Tidak berpotensi hard comcase</v>
          </cell>
          <cell r="Q75" t="str">
            <v>2032-08-02 00:00:00</v>
          </cell>
          <cell r="R75">
            <v>2032</v>
          </cell>
          <cell r="S75" t="str">
            <v>30 Days</v>
          </cell>
          <cell r="T75" t="str">
            <v>20M</v>
          </cell>
          <cell r="U75" t="str">
            <v>No Need STR</v>
          </cell>
          <cell r="V75" t="str">
            <v>20m</v>
          </cell>
          <cell r="W75" t="str">
            <v>OK</v>
          </cell>
          <cell r="AC75" t="str">
            <v>BANJAR</v>
          </cell>
          <cell r="AD75" t="str">
            <v>GREEN FIELD</v>
          </cell>
          <cell r="AE75" t="str">
            <v>SST</v>
          </cell>
          <cell r="AF75">
            <v>55</v>
          </cell>
          <cell r="AM75" t="str">
            <v>Go</v>
          </cell>
          <cell r="AO75">
            <v>120851104</v>
          </cell>
          <cell r="AP75" t="str">
            <v>BANJAR</v>
          </cell>
          <cell r="AQ75">
            <v>-7.3776700000000002</v>
          </cell>
          <cell r="AR75">
            <v>108.5373</v>
          </cell>
          <cell r="AS75" t="str">
            <v>TBG GROUP</v>
          </cell>
          <cell r="AT75" t="str">
            <v>TBG</v>
          </cell>
          <cell r="AU75" t="str">
            <v>JAWA</v>
          </cell>
          <cell r="AV75" t="str">
            <v>JAWA BARAT</v>
          </cell>
          <cell r="AW75" t="str">
            <v>KOTA BANJAR</v>
          </cell>
          <cell r="AX75" t="str">
            <v>BANJAR</v>
          </cell>
          <cell r="AY75" t="str">
            <v>GREEN FIELD</v>
          </cell>
          <cell r="AZ75" t="str">
            <v>SST</v>
          </cell>
          <cell r="BA75">
            <v>55</v>
          </cell>
          <cell r="BB75">
            <v>0</v>
          </cell>
          <cell r="BC75">
            <v>0</v>
          </cell>
          <cell r="BD75" t="str">
            <v>Go</v>
          </cell>
        </row>
        <row r="76">
          <cell r="B76">
            <v>121015104</v>
          </cell>
          <cell r="C76" t="str">
            <v>TBG GROUP</v>
          </cell>
          <cell r="D76" t="str">
            <v>TBG</v>
          </cell>
          <cell r="E76" t="str">
            <v>JAWA</v>
          </cell>
          <cell r="F76" t="str">
            <v>JAWA BARAT</v>
          </cell>
          <cell r="G76" t="str">
            <v>KOTA CIREBON</v>
          </cell>
          <cell r="H76" t="str">
            <v>PEKALIPAN</v>
          </cell>
          <cell r="I76" t="str">
            <v>GREEN FIELD</v>
          </cell>
          <cell r="J76" t="str">
            <v>SST</v>
          </cell>
          <cell r="K76">
            <v>-6.7186899999999996</v>
          </cell>
          <cell r="L76">
            <v>108.55920999999999</v>
          </cell>
          <cell r="M76" t="str">
            <v>Ready for Integration (RFI)</v>
          </cell>
          <cell r="N76" t="str">
            <v>Site 101 &amp; Site 106</v>
          </cell>
          <cell r="O76" t="str">
            <v>Pernah terjadi commcase</v>
          </cell>
          <cell r="P76" t="str">
            <v>Permintaan kompensasi/Unloading</v>
          </cell>
          <cell r="Q76" t="str">
            <v>2032-08-27 00:00:00</v>
          </cell>
          <cell r="R76">
            <v>2032</v>
          </cell>
          <cell r="S76" t="str">
            <v>30 Days</v>
          </cell>
          <cell r="T76" t="str">
            <v>20M</v>
          </cell>
          <cell r="U76" t="str">
            <v>NO Need STR</v>
          </cell>
          <cell r="V76" t="str">
            <v>20m</v>
          </cell>
          <cell r="W76" t="str">
            <v>OK</v>
          </cell>
          <cell r="AC76" t="str">
            <v>PARUJAKAN</v>
          </cell>
          <cell r="AD76" t="str">
            <v>GREEN FIELD</v>
          </cell>
          <cell r="AE76" t="str">
            <v>SST</v>
          </cell>
          <cell r="AF76">
            <v>42</v>
          </cell>
          <cell r="AM76" t="str">
            <v>Go</v>
          </cell>
          <cell r="AO76">
            <v>121015104</v>
          </cell>
          <cell r="AP76" t="str">
            <v>PARUJAKAN</v>
          </cell>
          <cell r="AQ76">
            <v>-6.7186899999999996</v>
          </cell>
          <cell r="AR76">
            <v>108.55920999999999</v>
          </cell>
          <cell r="AS76" t="str">
            <v>TBG GROUP</v>
          </cell>
          <cell r="AT76" t="str">
            <v>TBG</v>
          </cell>
          <cell r="AU76" t="str">
            <v>JAWA</v>
          </cell>
          <cell r="AV76" t="str">
            <v>JAWA BARAT</v>
          </cell>
          <cell r="AW76" t="str">
            <v>KOTA CIREBON</v>
          </cell>
          <cell r="AX76" t="str">
            <v>PEKALIPAN</v>
          </cell>
          <cell r="AY76" t="str">
            <v>GREEN FIELD</v>
          </cell>
          <cell r="AZ76" t="str">
            <v>SST</v>
          </cell>
          <cell r="BA76">
            <v>42</v>
          </cell>
          <cell r="BB76">
            <v>0</v>
          </cell>
          <cell r="BC76">
            <v>0</v>
          </cell>
          <cell r="BD76" t="str">
            <v>Go</v>
          </cell>
        </row>
        <row r="77">
          <cell r="B77">
            <v>161332104</v>
          </cell>
          <cell r="C77" t="str">
            <v>TBG GROUP</v>
          </cell>
          <cell r="D77" t="str">
            <v>TBG</v>
          </cell>
          <cell r="E77" t="str">
            <v>JAWA</v>
          </cell>
          <cell r="F77" t="str">
            <v>JAWA TIMUR</v>
          </cell>
          <cell r="G77" t="str">
            <v>KAB. JEMBER</v>
          </cell>
          <cell r="H77" t="str">
            <v>SUMBERSARI</v>
          </cell>
          <cell r="I77" t="str">
            <v>ROOF TOP</v>
          </cell>
          <cell r="J77" t="str">
            <v>SST</v>
          </cell>
          <cell r="K77">
            <v>-8.1663899999999998</v>
          </cell>
          <cell r="L77">
            <v>113.71155</v>
          </cell>
          <cell r="M77" t="str">
            <v>Ready for Integration (RFI)</v>
          </cell>
          <cell r="N77" t="str">
            <v>Site 101 &amp; Site 106</v>
          </cell>
          <cell r="O77" t="str">
            <v>Berpotensi terjadi Commcase</v>
          </cell>
          <cell r="P77" t="str">
            <v>Tidak berpotensi hard comcase</v>
          </cell>
          <cell r="Q77" t="str">
            <v>2034-03-07 00:00:00</v>
          </cell>
          <cell r="R77">
            <v>2034</v>
          </cell>
          <cell r="S77" t="str">
            <v>30 Days</v>
          </cell>
          <cell r="T77" t="str">
            <v>20M</v>
          </cell>
          <cell r="U77" t="str">
            <v>No need STR</v>
          </cell>
          <cell r="V77" t="str">
            <v>20m</v>
          </cell>
          <cell r="W77" t="str">
            <v>OK</v>
          </cell>
          <cell r="AC77" t="str">
            <v>TEGALGEDE_TSEL</v>
          </cell>
          <cell r="AD77" t="str">
            <v>ROOF TOP</v>
          </cell>
          <cell r="AE77" t="str">
            <v>SST</v>
          </cell>
          <cell r="AF77">
            <v>32.5</v>
          </cell>
          <cell r="AM77" t="str">
            <v>Go</v>
          </cell>
          <cell r="AO77">
            <v>161332104</v>
          </cell>
          <cell r="AP77" t="str">
            <v>TEGALGEDE_TSEL</v>
          </cell>
          <cell r="AQ77">
            <v>-8.1663899999999998</v>
          </cell>
          <cell r="AR77">
            <v>113.71155</v>
          </cell>
          <cell r="AS77" t="str">
            <v>TBG GROUP</v>
          </cell>
          <cell r="AT77" t="str">
            <v>TBG</v>
          </cell>
          <cell r="AU77" t="str">
            <v>JAWA</v>
          </cell>
          <cell r="AV77" t="str">
            <v>JAWA TIMUR</v>
          </cell>
          <cell r="AW77" t="str">
            <v>KAB. JEMBER</v>
          </cell>
          <cell r="AX77" t="str">
            <v>SUMBERSARI</v>
          </cell>
          <cell r="AY77" t="str">
            <v>ROOF TOP</v>
          </cell>
          <cell r="AZ77" t="str">
            <v>SST</v>
          </cell>
          <cell r="BA77">
            <v>32.5</v>
          </cell>
          <cell r="BB77">
            <v>7.5</v>
          </cell>
          <cell r="BC77">
            <v>0</v>
          </cell>
          <cell r="BD77" t="str">
            <v>Go</v>
          </cell>
        </row>
        <row r="78">
          <cell r="B78" t="str">
            <v>TBG03_EJ125</v>
          </cell>
          <cell r="C78" t="str">
            <v>TBG GROUP</v>
          </cell>
          <cell r="D78" t="str">
            <v>TBG</v>
          </cell>
          <cell r="E78" t="str">
            <v>JAWA</v>
          </cell>
          <cell r="F78" t="str">
            <v>JAWA TIMUR</v>
          </cell>
          <cell r="G78" t="str">
            <v>KAB. JEMBER</v>
          </cell>
          <cell r="H78" t="str">
            <v>PATRANG</v>
          </cell>
          <cell r="I78" t="str">
            <v>GREEN FIELD</v>
          </cell>
          <cell r="J78" t="str">
            <v>SST</v>
          </cell>
          <cell r="K78">
            <v>-8.1707800000000006</v>
          </cell>
          <cell r="L78">
            <v>113.6785</v>
          </cell>
          <cell r="M78" t="str">
            <v>Ready for Integration (RFI)</v>
          </cell>
          <cell r="N78" t="str">
            <v>Site 101 &amp; Site 106</v>
          </cell>
          <cell r="O78" t="str">
            <v>Berpotensi terjadi Commcase</v>
          </cell>
          <cell r="P78" t="str">
            <v>Tidak berpotensi hard comcase</v>
          </cell>
          <cell r="Q78" t="str">
            <v>Owned</v>
          </cell>
          <cell r="R78" t="str">
            <v>Owned</v>
          </cell>
          <cell r="S78" t="str">
            <v>30 Days</v>
          </cell>
          <cell r="T78" t="str">
            <v>20M</v>
          </cell>
          <cell r="U78" t="str">
            <v>No need STR</v>
          </cell>
          <cell r="V78" t="str">
            <v>20m</v>
          </cell>
          <cell r="W78" t="str">
            <v>OK</v>
          </cell>
          <cell r="AC78" t="str">
            <v>JEMBER1</v>
          </cell>
          <cell r="AD78" t="str">
            <v>GREEN FIELD</v>
          </cell>
          <cell r="AE78" t="str">
            <v>SST</v>
          </cell>
          <cell r="AF78">
            <v>50</v>
          </cell>
          <cell r="AM78" t="str">
            <v>Go</v>
          </cell>
          <cell r="AO78" t="str">
            <v>TBG03_EJ125</v>
          </cell>
          <cell r="AP78" t="str">
            <v>JEMBER1</v>
          </cell>
          <cell r="AQ78">
            <v>-8.1707800000000006</v>
          </cell>
          <cell r="AR78">
            <v>113.6785</v>
          </cell>
          <cell r="AS78" t="str">
            <v>TBG GROUP</v>
          </cell>
          <cell r="AT78" t="str">
            <v>TBG</v>
          </cell>
          <cell r="AU78" t="str">
            <v>JAWA</v>
          </cell>
          <cell r="AV78" t="str">
            <v>JAWA TIMUR</v>
          </cell>
          <cell r="AW78" t="str">
            <v>KAB. JEMBER</v>
          </cell>
          <cell r="AX78" t="str">
            <v>PATRANG</v>
          </cell>
          <cell r="AY78" t="str">
            <v>GREEN FIELD</v>
          </cell>
          <cell r="AZ78" t="str">
            <v>SST</v>
          </cell>
          <cell r="BA78">
            <v>50</v>
          </cell>
          <cell r="BB78">
            <v>0</v>
          </cell>
          <cell r="BC78">
            <v>0</v>
          </cell>
          <cell r="BD78" t="str">
            <v>Go</v>
          </cell>
        </row>
        <row r="79">
          <cell r="B79">
            <v>1654591001</v>
          </cell>
          <cell r="C79" t="str">
            <v>TBG GROUP</v>
          </cell>
          <cell r="D79" t="str">
            <v>TBG</v>
          </cell>
          <cell r="E79" t="str">
            <v>JAWA</v>
          </cell>
          <cell r="F79" t="str">
            <v>JAWA TIMUR</v>
          </cell>
          <cell r="G79" t="str">
            <v>KAB. JEMBER</v>
          </cell>
          <cell r="H79" t="str">
            <v>KALIWATES</v>
          </cell>
          <cell r="I79" t="str">
            <v>GREEN FIELD</v>
          </cell>
          <cell r="J79" t="str">
            <v>POLE</v>
          </cell>
          <cell r="K79">
            <v>-8.1811199999999999</v>
          </cell>
          <cell r="L79">
            <v>113.67416</v>
          </cell>
          <cell r="M79" t="str">
            <v>Ready for Integration (RFI)</v>
          </cell>
          <cell r="N79" t="str">
            <v>Site 101 &amp; Site 106</v>
          </cell>
          <cell r="O79" t="str">
            <v>Berpotensi terjadi Commcase</v>
          </cell>
          <cell r="P79" t="str">
            <v>Tidak berpotensi hard comcase</v>
          </cell>
          <cell r="Q79" t="str">
            <v>2032-05-30 00:00:00</v>
          </cell>
          <cell r="R79">
            <v>2032</v>
          </cell>
          <cell r="S79" t="str">
            <v>30 Days</v>
          </cell>
          <cell r="T79" t="str">
            <v>20M</v>
          </cell>
          <cell r="U79" t="str">
            <v>No Need STR</v>
          </cell>
          <cell r="V79" t="str">
            <v>20m</v>
          </cell>
          <cell r="W79" t="str">
            <v>OK</v>
          </cell>
          <cell r="AC79" t="str">
            <v>TEGAL GEDE 3 - RELOC</v>
          </cell>
          <cell r="AD79" t="str">
            <v>GREEN FIELD</v>
          </cell>
          <cell r="AE79" t="str">
            <v>MONO_POLE</v>
          </cell>
          <cell r="AF79">
            <v>20</v>
          </cell>
          <cell r="AM79" t="str">
            <v>Go</v>
          </cell>
          <cell r="AO79">
            <v>1654591001</v>
          </cell>
          <cell r="AP79" t="str">
            <v>TEGAL GEDE 3 - RELOC</v>
          </cell>
          <cell r="AQ79">
            <v>-8.1811199999999999</v>
          </cell>
          <cell r="AR79">
            <v>113.67416</v>
          </cell>
          <cell r="AS79" t="str">
            <v>TBG GROUP</v>
          </cell>
          <cell r="AT79" t="str">
            <v>TBG</v>
          </cell>
          <cell r="AU79" t="str">
            <v>JAWA</v>
          </cell>
          <cell r="AV79" t="str">
            <v>JAWA TIMUR</v>
          </cell>
          <cell r="AW79" t="str">
            <v>KAB. JEMBER</v>
          </cell>
          <cell r="AX79" t="str">
            <v>KALIWATES</v>
          </cell>
          <cell r="AY79" t="str">
            <v>GREEN FIELD</v>
          </cell>
          <cell r="AZ79" t="str">
            <v>POLE</v>
          </cell>
          <cell r="BA79">
            <v>20</v>
          </cell>
          <cell r="BB79">
            <v>0</v>
          </cell>
          <cell r="BC79">
            <v>0</v>
          </cell>
          <cell r="BD79" t="str">
            <v>Go</v>
          </cell>
        </row>
        <row r="80">
          <cell r="B80">
            <v>122376109</v>
          </cell>
          <cell r="C80" t="str">
            <v>TBG GROUP</v>
          </cell>
          <cell r="D80" t="str">
            <v>TBG</v>
          </cell>
          <cell r="E80" t="str">
            <v>JAWA</v>
          </cell>
          <cell r="F80" t="str">
            <v>JAWA BARAT</v>
          </cell>
          <cell r="G80" t="str">
            <v>KAB. BANDUNG BARAT</v>
          </cell>
          <cell r="H80" t="str">
            <v>NGAMPRAH</v>
          </cell>
          <cell r="I80" t="str">
            <v>GREEN FIELD</v>
          </cell>
          <cell r="J80" t="str">
            <v>SST</v>
          </cell>
          <cell r="K80">
            <v>-6.8396899999999983</v>
          </cell>
          <cell r="L80">
            <v>107.49697999999999</v>
          </cell>
          <cell r="M80" t="str">
            <v>Ready for Integration (RFI)</v>
          </cell>
          <cell r="N80" t="str">
            <v>Site 101 &amp; Site 106</v>
          </cell>
          <cell r="O80" t="str">
            <v>Berpotensi terjadi Commcase</v>
          </cell>
          <cell r="P80" t="str">
            <v>Tidak berpotensi hard comcase</v>
          </cell>
          <cell r="Q80" t="str">
            <v>2039-06-12 00:00:00</v>
          </cell>
          <cell r="R80">
            <v>2039</v>
          </cell>
          <cell r="S80" t="str">
            <v>30 Days</v>
          </cell>
          <cell r="T80" t="str">
            <v>20M</v>
          </cell>
          <cell r="U80" t="str">
            <v>No Need STR</v>
          </cell>
          <cell r="V80" t="str">
            <v>20m</v>
          </cell>
          <cell r="W80" t="str">
            <v>OK</v>
          </cell>
          <cell r="AC80" t="str">
            <v>NGAMPRAH-BCAPDLARANG</v>
          </cell>
          <cell r="AD80" t="str">
            <v>GREEN FIELD</v>
          </cell>
          <cell r="AE80" t="str">
            <v>SST</v>
          </cell>
          <cell r="AF80">
            <v>42</v>
          </cell>
          <cell r="AM80" t="str">
            <v>Go</v>
          </cell>
          <cell r="AO80">
            <v>122376109</v>
          </cell>
          <cell r="AP80" t="str">
            <v>NGAMPRAH-BCAPDLARANG</v>
          </cell>
          <cell r="AQ80">
            <v>-6.8396899999999983</v>
          </cell>
          <cell r="AR80">
            <v>107.49697999999999</v>
          </cell>
          <cell r="AS80" t="str">
            <v>TBG GROUP</v>
          </cell>
          <cell r="AT80" t="str">
            <v>TBG</v>
          </cell>
          <cell r="AU80" t="str">
            <v>JAWA</v>
          </cell>
          <cell r="AV80" t="str">
            <v>JAWA BARAT</v>
          </cell>
          <cell r="AW80" t="str">
            <v>KAB. BANDUNG BARAT</v>
          </cell>
          <cell r="AX80" t="str">
            <v>NGAMPRAH</v>
          </cell>
          <cell r="AY80" t="str">
            <v>GREEN FIELD</v>
          </cell>
          <cell r="AZ80" t="str">
            <v>SST</v>
          </cell>
          <cell r="BA80">
            <v>42</v>
          </cell>
          <cell r="BB80">
            <v>0</v>
          </cell>
          <cell r="BC80">
            <v>0</v>
          </cell>
          <cell r="BD80" t="str">
            <v>Go</v>
          </cell>
        </row>
        <row r="81">
          <cell r="B81">
            <v>163372126</v>
          </cell>
          <cell r="C81" t="str">
            <v>TBG GROUP</v>
          </cell>
          <cell r="D81" t="str">
            <v>TBG</v>
          </cell>
          <cell r="E81" t="str">
            <v>JAWA</v>
          </cell>
          <cell r="F81" t="str">
            <v>JAWA TIMUR</v>
          </cell>
          <cell r="G81" t="str">
            <v>KOTA PASURUAN</v>
          </cell>
          <cell r="H81" t="str">
            <v>PANGGUNGREJO</v>
          </cell>
          <cell r="I81" t="str">
            <v>GREEN FIELD</v>
          </cell>
          <cell r="J81" t="str">
            <v>POLE</v>
          </cell>
          <cell r="K81">
            <v>-7.6333500000000001</v>
          </cell>
          <cell r="L81">
            <v>112.91674999999999</v>
          </cell>
          <cell r="M81" t="str">
            <v>Ready for Integration (RFI)</v>
          </cell>
          <cell r="N81" t="str">
            <v>Site 101 &amp; Site 106</v>
          </cell>
          <cell r="O81" t="str">
            <v>Oke - tidak ada issue</v>
          </cell>
          <cell r="P81" t="str">
            <v>proses perpanjangan</v>
          </cell>
          <cell r="Q81" t="str">
            <v>2026-09-30 00:00:00</v>
          </cell>
          <cell r="R81">
            <v>2026</v>
          </cell>
          <cell r="S81" t="str">
            <v>30 Days</v>
          </cell>
          <cell r="T81" t="str">
            <v>Height not Available (&lt;21M)</v>
          </cell>
          <cell r="U81" t="str">
            <v>No Need STR @18m</v>
          </cell>
          <cell r="V81" t="str">
            <v>18m</v>
          </cell>
          <cell r="W81" t="str">
            <v>OK</v>
          </cell>
          <cell r="Z81" t="str">
            <v>No Tenant</v>
          </cell>
          <cell r="AC81" t="str">
            <v>PANGGUNGREJO 1</v>
          </cell>
          <cell r="AD81" t="str">
            <v>GREEN FIELD</v>
          </cell>
          <cell r="AE81" t="str">
            <v>MONO_POLE</v>
          </cell>
          <cell r="AF81">
            <v>18</v>
          </cell>
          <cell r="AM81" t="str">
            <v>Go</v>
          </cell>
          <cell r="AO81">
            <v>163372126</v>
          </cell>
          <cell r="AP81" t="str">
            <v>PANGGUNGREJO 1</v>
          </cell>
          <cell r="AQ81">
            <v>-7.6333500000000001</v>
          </cell>
          <cell r="AR81">
            <v>112.91674999999999</v>
          </cell>
          <cell r="AS81" t="str">
            <v>TBG GROUP</v>
          </cell>
          <cell r="AT81" t="str">
            <v>TBG</v>
          </cell>
          <cell r="AU81" t="str">
            <v>JAWA</v>
          </cell>
          <cell r="AV81" t="str">
            <v>JAWA TIMUR</v>
          </cell>
          <cell r="AW81" t="str">
            <v>KOTA PASURUAN</v>
          </cell>
          <cell r="AX81" t="str">
            <v>PANGGUNGREJO</v>
          </cell>
          <cell r="AY81" t="str">
            <v>GREEN FIELD</v>
          </cell>
          <cell r="AZ81" t="str">
            <v>POLE</v>
          </cell>
          <cell r="BA81">
            <v>18</v>
          </cell>
          <cell r="BB81">
            <v>0</v>
          </cell>
          <cell r="BC81">
            <v>0</v>
          </cell>
          <cell r="BD81" t="str">
            <v>Go</v>
          </cell>
        </row>
        <row r="82">
          <cell r="B82">
            <v>1649892007</v>
          </cell>
          <cell r="C82" t="str">
            <v>TBG GROUP</v>
          </cell>
          <cell r="D82" t="str">
            <v>TBG</v>
          </cell>
          <cell r="E82" t="str">
            <v>JAWA</v>
          </cell>
          <cell r="F82" t="str">
            <v>JAWA TIMUR</v>
          </cell>
          <cell r="G82" t="str">
            <v>KAB. PASURUAN</v>
          </cell>
          <cell r="H82" t="str">
            <v>PURWOSARI</v>
          </cell>
          <cell r="I82" t="str">
            <v>GREEN FIELD</v>
          </cell>
          <cell r="J82" t="str">
            <v>SST</v>
          </cell>
          <cell r="K82">
            <v>-7.7430199999999987</v>
          </cell>
          <cell r="L82">
            <v>112.72765</v>
          </cell>
          <cell r="M82" t="str">
            <v>Ready for Integration (RFI)</v>
          </cell>
          <cell r="N82" t="str">
            <v>Site 101 &amp; Site 106</v>
          </cell>
          <cell r="O82" t="str">
            <v>Berpotensi terjadi Commcase</v>
          </cell>
          <cell r="P82" t="str">
            <v>Tidak berpotensi hard comcase</v>
          </cell>
          <cell r="Q82" t="str">
            <v>2031-01-01 00:00:00</v>
          </cell>
          <cell r="R82">
            <v>2031</v>
          </cell>
          <cell r="S82" t="str">
            <v>30 Days</v>
          </cell>
          <cell r="T82" t="str">
            <v>20M</v>
          </cell>
          <cell r="U82" t="str">
            <v>NO Need STR</v>
          </cell>
          <cell r="V82" t="str">
            <v>20m</v>
          </cell>
          <cell r="W82" t="str">
            <v>OK</v>
          </cell>
          <cell r="AC82" t="str">
            <v>IBS SENGON</v>
          </cell>
          <cell r="AD82" t="str">
            <v>GREEN FIELD</v>
          </cell>
          <cell r="AE82" t="str">
            <v>SST</v>
          </cell>
          <cell r="AF82">
            <v>42</v>
          </cell>
          <cell r="AM82" t="str">
            <v>Go</v>
          </cell>
          <cell r="AO82">
            <v>1649892007</v>
          </cell>
          <cell r="AP82" t="str">
            <v>IBS SENGON</v>
          </cell>
          <cell r="AQ82">
            <v>-7.7430199999999987</v>
          </cell>
          <cell r="AR82">
            <v>112.72765</v>
          </cell>
          <cell r="AS82" t="str">
            <v>TBG GROUP</v>
          </cell>
          <cell r="AT82" t="str">
            <v>TBG</v>
          </cell>
          <cell r="AU82" t="str">
            <v>JAWA</v>
          </cell>
          <cell r="AV82" t="str">
            <v>JAWA TIMUR</v>
          </cell>
          <cell r="AW82" t="str">
            <v>KAB. PASURUAN</v>
          </cell>
          <cell r="AX82" t="str">
            <v>PURWOSARI</v>
          </cell>
          <cell r="AY82" t="str">
            <v>GREEN FIELD</v>
          </cell>
          <cell r="AZ82" t="str">
            <v>SST</v>
          </cell>
          <cell r="BA82">
            <v>42</v>
          </cell>
          <cell r="BB82">
            <v>0</v>
          </cell>
          <cell r="BC82">
            <v>0</v>
          </cell>
          <cell r="BD82" t="str">
            <v>Go</v>
          </cell>
        </row>
        <row r="83">
          <cell r="B83">
            <v>1650662001</v>
          </cell>
          <cell r="C83" t="str">
            <v>TBG GROUP</v>
          </cell>
          <cell r="D83" t="str">
            <v>TBG</v>
          </cell>
          <cell r="E83" t="str">
            <v>JAWA</v>
          </cell>
          <cell r="F83" t="str">
            <v>JAWA TIMUR</v>
          </cell>
          <cell r="G83" t="str">
            <v>KOTA MALANG</v>
          </cell>
          <cell r="H83" t="str">
            <v>BLIMBING</v>
          </cell>
          <cell r="I83" t="str">
            <v>GREEN FIELD</v>
          </cell>
          <cell r="J83" t="str">
            <v>SST</v>
          </cell>
          <cell r="K83">
            <v>-7.9462400000000004</v>
          </cell>
          <cell r="L83">
            <v>112.64762</v>
          </cell>
          <cell r="M83" t="str">
            <v>Ready for Integration (RFI)</v>
          </cell>
          <cell r="N83" t="str">
            <v>Site 101 &amp; Site 106</v>
          </cell>
          <cell r="O83" t="str">
            <v>Berpotensi terjadi Commcase</v>
          </cell>
          <cell r="P83" t="str">
            <v>Tidak berpotensi hard comcase</v>
          </cell>
          <cell r="Q83" t="str">
            <v>2036-12-09 00:00:00</v>
          </cell>
          <cell r="R83">
            <v>2036</v>
          </cell>
          <cell r="S83" t="str">
            <v>30 Days</v>
          </cell>
          <cell r="T83" t="str">
            <v>20M</v>
          </cell>
          <cell r="U83" t="str">
            <v>No need STR</v>
          </cell>
          <cell r="V83" t="str">
            <v>20m</v>
          </cell>
          <cell r="W83" t="str">
            <v>OK</v>
          </cell>
          <cell r="AC83" t="str">
            <v>IBS MLG_INFILL7</v>
          </cell>
          <cell r="AD83" t="str">
            <v>GREEN FIELD</v>
          </cell>
          <cell r="AE83" t="str">
            <v>SST</v>
          </cell>
          <cell r="AF83">
            <v>36</v>
          </cell>
          <cell r="AM83" t="str">
            <v>Go</v>
          </cell>
          <cell r="AO83">
            <v>1650662001</v>
          </cell>
          <cell r="AP83" t="str">
            <v>IBS MLG_INFILL7</v>
          </cell>
          <cell r="AQ83">
            <v>-7.9462400000000004</v>
          </cell>
          <cell r="AR83">
            <v>112.64762</v>
          </cell>
          <cell r="AS83" t="str">
            <v>TBG GROUP</v>
          </cell>
          <cell r="AT83" t="str">
            <v>TBG</v>
          </cell>
          <cell r="AU83" t="str">
            <v>JAWA</v>
          </cell>
          <cell r="AV83" t="str">
            <v>JAWA TIMUR</v>
          </cell>
          <cell r="AW83" t="str">
            <v>KOTA MALANG</v>
          </cell>
          <cell r="AX83" t="str">
            <v>BLIMBING</v>
          </cell>
          <cell r="AY83" t="str">
            <v>GREEN FIELD</v>
          </cell>
          <cell r="AZ83" t="str">
            <v>SST</v>
          </cell>
          <cell r="BA83">
            <v>36</v>
          </cell>
          <cell r="BB83">
            <v>0</v>
          </cell>
          <cell r="BC83">
            <v>0</v>
          </cell>
          <cell r="BD83" t="str">
            <v>Go</v>
          </cell>
        </row>
        <row r="84">
          <cell r="B84">
            <v>161395110</v>
          </cell>
          <cell r="C84" t="str">
            <v>TBG GROUP</v>
          </cell>
          <cell r="D84" t="str">
            <v>TBG</v>
          </cell>
          <cell r="E84" t="str">
            <v>JAWA</v>
          </cell>
          <cell r="F84" t="str">
            <v>JAWA TIMUR</v>
          </cell>
          <cell r="G84" t="str">
            <v>KOTA MALANG</v>
          </cell>
          <cell r="H84" t="str">
            <v>KLOJEN</v>
          </cell>
          <cell r="I84" t="str">
            <v>ROOF TOP</v>
          </cell>
          <cell r="J84" t="str">
            <v>POLE</v>
          </cell>
          <cell r="K84">
            <v>-7.9955600000000011</v>
          </cell>
          <cell r="L84">
            <v>112.62598</v>
          </cell>
          <cell r="M84" t="str">
            <v>Ready for Integration (RFI)</v>
          </cell>
          <cell r="N84" t="str">
            <v>Site 101 &amp; Site 106</v>
          </cell>
          <cell r="O84" t="str">
            <v>Oke - tidak ada issue</v>
          </cell>
          <cell r="P84" t="str">
            <v>Tidak ada isue, lahan dibeli TBG</v>
          </cell>
          <cell r="Q84">
            <v>46208</v>
          </cell>
          <cell r="R84">
            <v>2026</v>
          </cell>
          <cell r="S84" t="str">
            <v>30 Days</v>
          </cell>
          <cell r="T84" t="str">
            <v>20M</v>
          </cell>
          <cell r="U84" t="str">
            <v>No need STR</v>
          </cell>
          <cell r="V84" t="str">
            <v>20m</v>
          </cell>
          <cell r="W84" t="str">
            <v>OK</v>
          </cell>
          <cell r="Z84" t="str">
            <v>TSEL</v>
          </cell>
          <cell r="AA84">
            <v>49488</v>
          </cell>
          <cell r="AB84">
            <v>2035</v>
          </cell>
          <cell r="AC84" t="str">
            <v>3G-BENTOEL OFFICE</v>
          </cell>
          <cell r="AD84" t="str">
            <v>ROOF TOP</v>
          </cell>
          <cell r="AE84" t="str">
            <v>POLE</v>
          </cell>
          <cell r="AF84">
            <v>31.5</v>
          </cell>
          <cell r="AM84" t="str">
            <v>Go</v>
          </cell>
          <cell r="AO84">
            <v>161395110</v>
          </cell>
          <cell r="AP84" t="str">
            <v>3G-BENTOEL OFFICE</v>
          </cell>
          <cell r="AQ84">
            <v>-7.9955600000000011</v>
          </cell>
          <cell r="AR84">
            <v>112.62598</v>
          </cell>
          <cell r="AS84" t="str">
            <v>TBG GROUP</v>
          </cell>
          <cell r="AT84" t="str">
            <v>TBG</v>
          </cell>
          <cell r="AU84" t="str">
            <v>JAWA</v>
          </cell>
          <cell r="AV84" t="str">
            <v>JAWA TIMUR</v>
          </cell>
          <cell r="AW84" t="str">
            <v>KOTA MALANG</v>
          </cell>
          <cell r="AX84" t="str">
            <v>KLOJEN</v>
          </cell>
          <cell r="AY84" t="str">
            <v>ROOF TOP</v>
          </cell>
          <cell r="AZ84" t="str">
            <v>POLE</v>
          </cell>
          <cell r="BA84">
            <v>31.5</v>
          </cell>
          <cell r="BB84">
            <v>5.4</v>
          </cell>
          <cell r="BC84">
            <v>10.1</v>
          </cell>
          <cell r="BD84" t="str">
            <v>Go</v>
          </cell>
        </row>
        <row r="85">
          <cell r="B85">
            <v>125841103</v>
          </cell>
          <cell r="C85" t="str">
            <v>TBG GROUP</v>
          </cell>
          <cell r="D85" t="str">
            <v>TBG</v>
          </cell>
          <cell r="E85" t="str">
            <v>JAWA</v>
          </cell>
          <cell r="F85" t="str">
            <v>JAWA BARAT</v>
          </cell>
          <cell r="G85" t="str">
            <v>KOTA BANDUNG</v>
          </cell>
          <cell r="H85" t="str">
            <v>KIARACONDONG</v>
          </cell>
          <cell r="I85" t="str">
            <v>GREEN FIELD</v>
          </cell>
          <cell r="J85" t="str">
            <v>POLE</v>
          </cell>
          <cell r="K85">
            <v>-6.9241699999999966</v>
          </cell>
          <cell r="L85">
            <v>107.64904</v>
          </cell>
          <cell r="M85" t="str">
            <v>Ready for Integration (RFI)</v>
          </cell>
          <cell r="N85" t="str">
            <v>Site 101 &amp; Site 106</v>
          </cell>
          <cell r="O85" t="str">
            <v>Oke - tidak ada issue</v>
          </cell>
          <cell r="Q85" t="str">
            <v>2039-05-16 00:00:00</v>
          </cell>
          <cell r="R85">
            <v>2039</v>
          </cell>
          <cell r="S85" t="str">
            <v>30 Days</v>
          </cell>
          <cell r="T85" t="str">
            <v>20M</v>
          </cell>
          <cell r="U85" t="str">
            <v>No Need STR</v>
          </cell>
          <cell r="V85" t="str">
            <v>20m</v>
          </cell>
          <cell r="W85" t="str">
            <v>OK</v>
          </cell>
          <cell r="AC85" t="str">
            <v>KIARACONDONG_BABAKANSARI</v>
          </cell>
          <cell r="AD85" t="str">
            <v>GREEN FIELD</v>
          </cell>
          <cell r="AE85" t="str">
            <v>POLE</v>
          </cell>
          <cell r="AF85">
            <v>26.4</v>
          </cell>
          <cell r="AM85" t="str">
            <v>Go</v>
          </cell>
          <cell r="AO85">
            <v>125841103</v>
          </cell>
          <cell r="AP85" t="str">
            <v>KIARACONDONG_BABAKANSARI</v>
          </cell>
          <cell r="AQ85">
            <v>-6.9241699999999966</v>
          </cell>
          <cell r="AR85">
            <v>107.64904</v>
          </cell>
          <cell r="AS85" t="str">
            <v>TBG GROUP</v>
          </cell>
          <cell r="AT85" t="str">
            <v>TBG</v>
          </cell>
          <cell r="AU85" t="str">
            <v>JAWA</v>
          </cell>
          <cell r="AV85" t="str">
            <v>JAWA BARAT</v>
          </cell>
          <cell r="AW85" t="str">
            <v>KOTA BANDUNG</v>
          </cell>
          <cell r="AX85" t="str">
            <v>KIARACONDONG</v>
          </cell>
          <cell r="AY85" t="str">
            <v>GREEN FIELD</v>
          </cell>
          <cell r="AZ85" t="str">
            <v>POLE</v>
          </cell>
          <cell r="BA85">
            <v>26.4</v>
          </cell>
          <cell r="BB85">
            <v>0</v>
          </cell>
          <cell r="BC85">
            <v>14.4</v>
          </cell>
          <cell r="BD85" t="str">
            <v>Go</v>
          </cell>
        </row>
        <row r="86">
          <cell r="B86">
            <v>163870110</v>
          </cell>
          <cell r="C86" t="str">
            <v>TBG GROUP</v>
          </cell>
          <cell r="D86" t="str">
            <v>TBG</v>
          </cell>
          <cell r="E86" t="str">
            <v>JAWA</v>
          </cell>
          <cell r="F86" t="str">
            <v>JAWA TIMUR</v>
          </cell>
          <cell r="G86" t="str">
            <v>KAB. MALANG</v>
          </cell>
          <cell r="H86" t="str">
            <v>SINGOSARI</v>
          </cell>
          <cell r="I86" t="str">
            <v>GREEN FIELD</v>
          </cell>
          <cell r="J86" t="str">
            <v>SST</v>
          </cell>
          <cell r="K86">
            <v>-7.9042000000000012</v>
          </cell>
          <cell r="L86">
            <v>112.65996</v>
          </cell>
          <cell r="M86" t="str">
            <v>Ready for Integration (RFI)</v>
          </cell>
          <cell r="N86" t="str">
            <v>Site 101 &amp; Site 106</v>
          </cell>
          <cell r="O86" t="str">
            <v>Berpotensi terjadi Commcase</v>
          </cell>
          <cell r="P86" t="str">
            <v>Tidak berpotensi hard comcase</v>
          </cell>
          <cell r="Q86" t="str">
            <v>2028-04-12 00:00:00</v>
          </cell>
          <cell r="R86">
            <v>2028</v>
          </cell>
          <cell r="S86" t="str">
            <v>30 Days</v>
          </cell>
          <cell r="T86" t="str">
            <v>20M</v>
          </cell>
          <cell r="U86" t="str">
            <v>No need STR</v>
          </cell>
          <cell r="V86" t="str">
            <v>20m</v>
          </cell>
          <cell r="W86" t="str">
            <v>OK</v>
          </cell>
          <cell r="AC86" t="str">
            <v>KARANGLO - RELOC</v>
          </cell>
          <cell r="AD86" t="str">
            <v>GREEN FIELD</v>
          </cell>
          <cell r="AE86" t="str">
            <v>SST</v>
          </cell>
          <cell r="AF86">
            <v>42</v>
          </cell>
          <cell r="AM86" t="str">
            <v>Go</v>
          </cell>
          <cell r="AO86">
            <v>163870110</v>
          </cell>
          <cell r="AP86" t="str">
            <v>KARANGLO - RELOC</v>
          </cell>
          <cell r="AQ86">
            <v>-7.9042000000000012</v>
          </cell>
          <cell r="AR86">
            <v>112.65996</v>
          </cell>
          <cell r="AS86" t="str">
            <v>TBG GROUP</v>
          </cell>
          <cell r="AT86" t="str">
            <v>TBG</v>
          </cell>
          <cell r="AU86" t="str">
            <v>JAWA</v>
          </cell>
          <cell r="AV86" t="str">
            <v>JAWA TIMUR</v>
          </cell>
          <cell r="AW86" t="str">
            <v>KAB. MALANG</v>
          </cell>
          <cell r="AX86" t="str">
            <v>SINGOSARI</v>
          </cell>
          <cell r="AY86" t="str">
            <v>GREEN FIELD</v>
          </cell>
          <cell r="AZ86" t="str">
            <v>SST</v>
          </cell>
          <cell r="BA86">
            <v>42</v>
          </cell>
          <cell r="BB86">
            <v>0</v>
          </cell>
          <cell r="BC86">
            <v>0</v>
          </cell>
          <cell r="BD86" t="str">
            <v>Go</v>
          </cell>
        </row>
        <row r="87">
          <cell r="B87">
            <v>125871101</v>
          </cell>
          <cell r="C87" t="str">
            <v>TBG GROUP</v>
          </cell>
          <cell r="D87" t="str">
            <v>TBG</v>
          </cell>
          <cell r="E87" t="str">
            <v>JAWA</v>
          </cell>
          <cell r="F87" t="str">
            <v>JAWA BARAT</v>
          </cell>
          <cell r="G87" t="str">
            <v>KAB. BANDUNG</v>
          </cell>
          <cell r="H87" t="str">
            <v>RANCAEKEK</v>
          </cell>
          <cell r="I87" t="str">
            <v>GREEN FIELD</v>
          </cell>
          <cell r="J87" t="str">
            <v>SST</v>
          </cell>
          <cell r="K87">
            <v>-6.9634400000000003</v>
          </cell>
          <cell r="L87">
            <v>107.75358</v>
          </cell>
          <cell r="M87" t="str">
            <v>Ready for Integration (RFI)</v>
          </cell>
          <cell r="N87" t="str">
            <v>Site 101 &amp; Site 106</v>
          </cell>
          <cell r="O87" t="str">
            <v>Berpotensi terjadi Commcase</v>
          </cell>
          <cell r="P87" t="str">
            <v>Tidak berpotensi hard comcase</v>
          </cell>
          <cell r="Q87" t="str">
            <v>2031-01-06 00:00:00</v>
          </cell>
          <cell r="R87">
            <v>2031</v>
          </cell>
          <cell r="S87" t="str">
            <v>30 Days</v>
          </cell>
          <cell r="T87" t="str">
            <v>20M</v>
          </cell>
          <cell r="U87" t="str">
            <v>No Need STR</v>
          </cell>
          <cell r="V87" t="str">
            <v>20m</v>
          </cell>
          <cell r="W87" t="str">
            <v>OK</v>
          </cell>
          <cell r="AC87" t="str">
            <v>BDGN-218-WBBMC-SITE_7801 - RELOC</v>
          </cell>
          <cell r="AD87" t="str">
            <v>GREEN FIELD</v>
          </cell>
          <cell r="AE87" t="str">
            <v>SST</v>
          </cell>
          <cell r="AF87">
            <v>42</v>
          </cell>
          <cell r="AM87" t="str">
            <v>Go</v>
          </cell>
          <cell r="AO87">
            <v>125871101</v>
          </cell>
          <cell r="AP87" t="str">
            <v>BDGN-218-WBBMC-SITE_7801 - RELOC</v>
          </cell>
          <cell r="AQ87">
            <v>-6.9634400000000003</v>
          </cell>
          <cell r="AR87">
            <v>107.75358</v>
          </cell>
          <cell r="AS87" t="str">
            <v>TBG GROUP</v>
          </cell>
          <cell r="AT87" t="str">
            <v>TBG</v>
          </cell>
          <cell r="AU87" t="str">
            <v>JAWA</v>
          </cell>
          <cell r="AV87" t="str">
            <v>JAWA BARAT</v>
          </cell>
          <cell r="AW87" t="str">
            <v>KAB. BANDUNG</v>
          </cell>
          <cell r="AX87" t="str">
            <v>RANCAEKEK</v>
          </cell>
          <cell r="AY87" t="str">
            <v>GREEN FIELD</v>
          </cell>
          <cell r="AZ87" t="str">
            <v>SST</v>
          </cell>
          <cell r="BA87">
            <v>42</v>
          </cell>
          <cell r="BB87">
            <v>0</v>
          </cell>
          <cell r="BC87">
            <v>0</v>
          </cell>
          <cell r="BD87" t="str">
            <v>Go</v>
          </cell>
        </row>
        <row r="88">
          <cell r="B88">
            <v>124714126</v>
          </cell>
          <cell r="C88" t="str">
            <v>TBG GROUP</v>
          </cell>
          <cell r="D88" t="str">
            <v>TBG</v>
          </cell>
          <cell r="E88" t="str">
            <v>JAWA</v>
          </cell>
          <cell r="F88" t="str">
            <v>JAWA BARAT</v>
          </cell>
          <cell r="G88" t="str">
            <v>KAB. BANDUNG</v>
          </cell>
          <cell r="H88" t="str">
            <v>RANCAEKEK</v>
          </cell>
          <cell r="I88" t="str">
            <v>GREEN FIELD</v>
          </cell>
          <cell r="J88" t="str">
            <v>SST</v>
          </cell>
          <cell r="K88">
            <v>-6.9598100000000009</v>
          </cell>
          <cell r="L88">
            <v>107.76061</v>
          </cell>
          <cell r="M88" t="str">
            <v>Ready for Integration (RFI)</v>
          </cell>
          <cell r="N88" t="str">
            <v>Site 101 &amp; Site 106</v>
          </cell>
          <cell r="O88" t="str">
            <v>Berpotensi terjadi Commcase</v>
          </cell>
          <cell r="P88" t="str">
            <v>Tidak berpotensi hard comcase</v>
          </cell>
          <cell r="Q88" t="str">
            <v>2037-06-28 00:00:00</v>
          </cell>
          <cell r="R88">
            <v>2037</v>
          </cell>
          <cell r="S88" t="str">
            <v>30 Days</v>
          </cell>
          <cell r="T88" t="str">
            <v>20M</v>
          </cell>
          <cell r="U88" t="str">
            <v>No Need STR</v>
          </cell>
          <cell r="V88" t="str">
            <v>20m</v>
          </cell>
          <cell r="W88" t="str">
            <v>OK</v>
          </cell>
          <cell r="AC88" t="str">
            <v>RANCAEKEKKULON-BABAKANASTRA</v>
          </cell>
          <cell r="AD88" t="str">
            <v>GREEN FIELD</v>
          </cell>
          <cell r="AE88" t="str">
            <v>SST</v>
          </cell>
          <cell r="AF88">
            <v>32</v>
          </cell>
          <cell r="AM88" t="str">
            <v>Go</v>
          </cell>
          <cell r="AO88">
            <v>124714126</v>
          </cell>
          <cell r="AP88" t="str">
            <v>RANCAEKEKKULON-BABAKANASTRA</v>
          </cell>
          <cell r="AQ88">
            <v>-6.9598100000000009</v>
          </cell>
          <cell r="AR88">
            <v>107.76061</v>
          </cell>
          <cell r="AS88" t="str">
            <v>TBG GROUP</v>
          </cell>
          <cell r="AT88" t="str">
            <v>TBG</v>
          </cell>
          <cell r="AU88" t="str">
            <v>JAWA</v>
          </cell>
          <cell r="AV88" t="str">
            <v>JAWA BARAT</v>
          </cell>
          <cell r="AW88" t="str">
            <v>KAB. BANDUNG</v>
          </cell>
          <cell r="AX88" t="str">
            <v>RANCAEKEK</v>
          </cell>
          <cell r="AY88" t="str">
            <v>GREEN FIELD</v>
          </cell>
          <cell r="AZ88" t="str">
            <v>SST</v>
          </cell>
          <cell r="BA88">
            <v>32</v>
          </cell>
          <cell r="BB88">
            <v>0</v>
          </cell>
          <cell r="BC88">
            <v>0</v>
          </cell>
          <cell r="BD88" t="str">
            <v>Go</v>
          </cell>
        </row>
        <row r="89">
          <cell r="B89">
            <v>121272104</v>
          </cell>
          <cell r="C89" t="str">
            <v>TBG GROUP</v>
          </cell>
          <cell r="D89" t="str">
            <v>TBG</v>
          </cell>
          <cell r="E89" t="str">
            <v>JAWA</v>
          </cell>
          <cell r="F89" t="str">
            <v>JAWA BARAT</v>
          </cell>
          <cell r="G89" t="str">
            <v>KAB. BANDUNG</v>
          </cell>
          <cell r="H89" t="str">
            <v>CICALENGKA</v>
          </cell>
          <cell r="I89" t="str">
            <v>GREEN FIELD</v>
          </cell>
          <cell r="J89" t="str">
            <v>SST</v>
          </cell>
          <cell r="K89">
            <v>-6.9858099999999999</v>
          </cell>
          <cell r="L89">
            <v>107.83331</v>
          </cell>
          <cell r="M89" t="str">
            <v>Ready for Integration (RFI)</v>
          </cell>
          <cell r="N89" t="str">
            <v>Site 101 &amp; Site 106</v>
          </cell>
          <cell r="O89" t="str">
            <v>Berpotensi terjadi Commcase</v>
          </cell>
          <cell r="P89" t="str">
            <v>Tidak berpotensi hard comcase</v>
          </cell>
          <cell r="Q89" t="str">
            <v>2032-08-02 00:00:00</v>
          </cell>
          <cell r="R89">
            <v>2032</v>
          </cell>
          <cell r="S89" t="str">
            <v>30 Days</v>
          </cell>
          <cell r="T89" t="str">
            <v>20M</v>
          </cell>
          <cell r="U89" t="str">
            <v>No Need STR</v>
          </cell>
          <cell r="V89" t="str">
            <v>20m</v>
          </cell>
          <cell r="W89" t="str">
            <v>OK</v>
          </cell>
          <cell r="AC89" t="str">
            <v>CICALENGKA</v>
          </cell>
          <cell r="AD89" t="str">
            <v>GREEN FIELD</v>
          </cell>
          <cell r="AE89" t="str">
            <v>SST</v>
          </cell>
          <cell r="AF89">
            <v>55</v>
          </cell>
          <cell r="AM89" t="str">
            <v>Go</v>
          </cell>
          <cell r="AO89">
            <v>121272104</v>
          </cell>
          <cell r="AP89" t="str">
            <v>CICALENGKA</v>
          </cell>
          <cell r="AQ89">
            <v>-6.9858099999999999</v>
          </cell>
          <cell r="AR89">
            <v>107.83331</v>
          </cell>
          <cell r="AS89" t="str">
            <v>TBG GROUP</v>
          </cell>
          <cell r="AT89" t="str">
            <v>TBG</v>
          </cell>
          <cell r="AU89" t="str">
            <v>JAWA</v>
          </cell>
          <cell r="AV89" t="str">
            <v>JAWA BARAT</v>
          </cell>
          <cell r="AW89" t="str">
            <v>KAB. BANDUNG</v>
          </cell>
          <cell r="AX89" t="str">
            <v>CICALENGKA</v>
          </cell>
          <cell r="AY89" t="str">
            <v>GREEN FIELD</v>
          </cell>
          <cell r="AZ89" t="str">
            <v>SST</v>
          </cell>
          <cell r="BA89">
            <v>55</v>
          </cell>
          <cell r="BB89">
            <v>0</v>
          </cell>
          <cell r="BC89">
            <v>0</v>
          </cell>
          <cell r="BD89" t="str">
            <v>Go</v>
          </cell>
        </row>
        <row r="90">
          <cell r="B90">
            <v>1436911023</v>
          </cell>
          <cell r="C90" t="str">
            <v>TBG GROUP</v>
          </cell>
          <cell r="D90" t="str">
            <v>TBG</v>
          </cell>
          <cell r="E90" t="str">
            <v>JAWA</v>
          </cell>
          <cell r="F90" t="str">
            <v>JAWA TENGAH</v>
          </cell>
          <cell r="G90" t="str">
            <v>KAB. CILACAP</v>
          </cell>
          <cell r="H90" t="str">
            <v>MAOS</v>
          </cell>
          <cell r="I90" t="str">
            <v>GREEN FIELD</v>
          </cell>
          <cell r="J90" t="str">
            <v>SST</v>
          </cell>
          <cell r="K90">
            <v>-7.62127</v>
          </cell>
          <cell r="L90">
            <v>109.13070999999999</v>
          </cell>
          <cell r="M90" t="str">
            <v>Ready for Integration (RFI)</v>
          </cell>
          <cell r="N90" t="str">
            <v>Site 101 &amp; Site 106</v>
          </cell>
          <cell r="O90" t="str">
            <v>Oke - tidak ada issue</v>
          </cell>
          <cell r="P90" t="str">
            <v>kompensasi lingkungan</v>
          </cell>
          <cell r="Q90" t="str">
            <v>2031-12-09 00:00:00</v>
          </cell>
          <cell r="R90">
            <v>2031</v>
          </cell>
          <cell r="S90" t="str">
            <v>30 Days</v>
          </cell>
          <cell r="T90" t="str">
            <v>20M</v>
          </cell>
          <cell r="U90" t="str">
            <v>No Need STR</v>
          </cell>
          <cell r="V90" t="str">
            <v>20m</v>
          </cell>
          <cell r="W90" t="str">
            <v>OK</v>
          </cell>
          <cell r="AC90" t="str">
            <v>MAOS CILACAP</v>
          </cell>
          <cell r="AD90" t="str">
            <v>GREEN FIELD</v>
          </cell>
          <cell r="AE90" t="str">
            <v>SST</v>
          </cell>
          <cell r="AF90">
            <v>62</v>
          </cell>
          <cell r="AM90" t="str">
            <v>Go</v>
          </cell>
          <cell r="AO90">
            <v>1436911023</v>
          </cell>
          <cell r="AP90" t="str">
            <v>MAOS CILACAP</v>
          </cell>
          <cell r="AQ90">
            <v>-7.62127</v>
          </cell>
          <cell r="AR90">
            <v>109.13070999999999</v>
          </cell>
          <cell r="AS90" t="str">
            <v>TBG GROUP</v>
          </cell>
          <cell r="AT90" t="str">
            <v>TBG</v>
          </cell>
          <cell r="AU90" t="str">
            <v>JAWA</v>
          </cell>
          <cell r="AV90" t="str">
            <v>JAWA TENGAH</v>
          </cell>
          <cell r="AW90" t="str">
            <v>KAB. CILACAP</v>
          </cell>
          <cell r="AX90" t="str">
            <v>MAOS</v>
          </cell>
          <cell r="AY90" t="str">
            <v>GREEN FIELD</v>
          </cell>
          <cell r="AZ90" t="str">
            <v>SST</v>
          </cell>
          <cell r="BA90">
            <v>62</v>
          </cell>
          <cell r="BB90">
            <v>0</v>
          </cell>
          <cell r="BC90">
            <v>0</v>
          </cell>
          <cell r="BD90" t="str">
            <v>Go</v>
          </cell>
        </row>
        <row r="91">
          <cell r="B91">
            <v>163157126</v>
          </cell>
          <cell r="C91" t="str">
            <v>TBG GROUP</v>
          </cell>
          <cell r="D91" t="str">
            <v>TBG</v>
          </cell>
          <cell r="E91" t="str">
            <v>JAWA</v>
          </cell>
          <cell r="F91" t="str">
            <v>JAWA TIMUR</v>
          </cell>
          <cell r="G91" t="str">
            <v>KOTA MOJOKERTO</v>
          </cell>
          <cell r="H91" t="str">
            <v>KRANGGAN</v>
          </cell>
          <cell r="I91" t="str">
            <v>GREEN FIELD</v>
          </cell>
          <cell r="J91" t="str">
            <v>POLE</v>
          </cell>
          <cell r="K91">
            <v>-7.4763199999999959</v>
          </cell>
          <cell r="L91">
            <v>112.43198</v>
          </cell>
          <cell r="M91" t="str">
            <v>Ready for Integration (RFI)</v>
          </cell>
          <cell r="N91" t="str">
            <v>Site 101 &amp; Site 106</v>
          </cell>
          <cell r="O91" t="str">
            <v>Berpotensi terjadi Commcase</v>
          </cell>
          <cell r="P91" t="str">
            <v>Tidak berpotensi hard comcase</v>
          </cell>
          <cell r="S91" t="str">
            <v>30 Days</v>
          </cell>
          <cell r="T91" t="str">
            <v>Height not Available (&lt;21M)</v>
          </cell>
          <cell r="U91" t="str">
            <v>No Need STR @16m</v>
          </cell>
          <cell r="V91" t="str">
            <v>16m</v>
          </cell>
          <cell r="W91" t="str">
            <v>OK</v>
          </cell>
          <cell r="Z91" t="str">
            <v>HCPT</v>
          </cell>
          <cell r="AA91">
            <v>47582</v>
          </cell>
          <cell r="AB91">
            <v>2030</v>
          </cell>
          <cell r="AC91" t="str">
            <v>BANJARAGUNG 3</v>
          </cell>
          <cell r="AD91" t="str">
            <v>GREEN FIELD</v>
          </cell>
          <cell r="AE91" t="str">
            <v>MONO_POLE</v>
          </cell>
          <cell r="AF91">
            <v>18</v>
          </cell>
          <cell r="AM91" t="str">
            <v>Go</v>
          </cell>
          <cell r="AO91">
            <v>163157126</v>
          </cell>
          <cell r="AP91" t="str">
            <v>BANJARAGUNG 3</v>
          </cell>
          <cell r="AQ91">
            <v>-7.4763199999999959</v>
          </cell>
          <cell r="AR91">
            <v>112.43198</v>
          </cell>
          <cell r="AS91" t="str">
            <v>TBG GROUP</v>
          </cell>
          <cell r="AT91" t="str">
            <v>TBG</v>
          </cell>
          <cell r="AU91" t="str">
            <v>JAWA</v>
          </cell>
          <cell r="AV91" t="str">
            <v>JAWA TIMUR</v>
          </cell>
          <cell r="AW91" t="str">
            <v>KOTA MOJOKERTO</v>
          </cell>
          <cell r="AX91" t="str">
            <v>KRANGGAN</v>
          </cell>
          <cell r="AY91" t="str">
            <v>GREEN FIELD</v>
          </cell>
          <cell r="AZ91" t="str">
            <v>POLE</v>
          </cell>
          <cell r="BA91">
            <v>18</v>
          </cell>
          <cell r="BB91">
            <v>0</v>
          </cell>
          <cell r="BC91">
            <v>0</v>
          </cell>
          <cell r="BD91" t="str">
            <v>Go</v>
          </cell>
        </row>
        <row r="92">
          <cell r="B92">
            <v>141605110</v>
          </cell>
          <cell r="C92" t="str">
            <v>TBG GROUP</v>
          </cell>
          <cell r="D92" t="str">
            <v>Dismantle</v>
          </cell>
          <cell r="E92" t="str">
            <v>JAWA</v>
          </cell>
          <cell r="F92" t="str">
            <v>JAWA TENGAH</v>
          </cell>
          <cell r="G92" t="str">
            <v>KOTA TEGAL</v>
          </cell>
          <cell r="H92" t="str">
            <v>TEGAL BARAT</v>
          </cell>
          <cell r="I92" t="str">
            <v>ROOF TOP</v>
          </cell>
          <cell r="J92" t="str">
            <v>POLE</v>
          </cell>
          <cell r="K92">
            <v>-6.8703699999999994</v>
          </cell>
          <cell r="L92">
            <v>109.12945999999999</v>
          </cell>
          <cell r="M92" t="str">
            <v>Dismantle</v>
          </cell>
          <cell r="N92" t="str">
            <v>Site 101 &amp; Site 106</v>
          </cell>
          <cell r="O92" t="str">
            <v>Oke - tidak ada issue</v>
          </cell>
          <cell r="P92" t="str">
            <v>Relokasi Done, nama baru - GAJAHMADA TEGAL BARAT - RELOC</v>
          </cell>
          <cell r="Q92" t="str">
            <v>Dismantle</v>
          </cell>
          <cell r="R92" t="str">
            <v>Dismantle</v>
          </cell>
          <cell r="S92" t="str">
            <v>30 Days</v>
          </cell>
          <cell r="T92" t="str">
            <v>20M</v>
          </cell>
          <cell r="U92" t="str">
            <v>No need STR</v>
          </cell>
          <cell r="V92" t="str">
            <v>20m</v>
          </cell>
          <cell r="W92" t="str">
            <v>OK</v>
          </cell>
          <cell r="Z92" t="str">
            <v>Dismantle</v>
          </cell>
          <cell r="AA92" t="str">
            <v>Dismantle</v>
          </cell>
          <cell r="AB92" t="str">
            <v>Dismantle</v>
          </cell>
          <cell r="AC92" t="str">
            <v>Dismantle</v>
          </cell>
          <cell r="AD92" t="str">
            <v>Dismantle</v>
          </cell>
          <cell r="AE92" t="str">
            <v>Dismantle</v>
          </cell>
          <cell r="AF92" t="str">
            <v>Dismantle</v>
          </cell>
          <cell r="AG92" t="str">
            <v>Reloc Done (1472761003)</v>
          </cell>
          <cell r="AH92">
            <v>109.12783</v>
          </cell>
          <cell r="AI92">
            <v>-6.87005</v>
          </cell>
          <cell r="AJ92" t="str">
            <v>Reloc Done</v>
          </cell>
          <cell r="AM92" t="str">
            <v>Go</v>
          </cell>
          <cell r="AO92">
            <v>1472761003</v>
          </cell>
          <cell r="AP92" t="str">
            <v>GAJAHMADA TEGAL BARAT - RELOC</v>
          </cell>
          <cell r="AQ92">
            <v>-6.87005</v>
          </cell>
          <cell r="AR92">
            <v>109.12783</v>
          </cell>
          <cell r="AS92" t="str">
            <v>TBG GROUP</v>
          </cell>
          <cell r="AT92" t="str">
            <v>TBG</v>
          </cell>
          <cell r="AU92" t="str">
            <v>JAWA</v>
          </cell>
          <cell r="AV92" t="str">
            <v>JAWA TENGAH</v>
          </cell>
          <cell r="AW92" t="str">
            <v>KOTA TEGAL</v>
          </cell>
          <cell r="AX92" t="str">
            <v>TEGAL BARAT</v>
          </cell>
          <cell r="AY92" t="str">
            <v>GREEN FIELD</v>
          </cell>
          <cell r="AZ92" t="str">
            <v>POLE</v>
          </cell>
          <cell r="BA92">
            <v>25</v>
          </cell>
          <cell r="BB92" t="e">
            <v>#N/A</v>
          </cell>
          <cell r="BC92" t="e">
            <v>#N/A</v>
          </cell>
          <cell r="BD92" t="str">
            <v>Go</v>
          </cell>
        </row>
        <row r="93">
          <cell r="B93">
            <v>1647952007</v>
          </cell>
          <cell r="C93" t="str">
            <v>TBG GROUP</v>
          </cell>
          <cell r="D93" t="str">
            <v>TBG</v>
          </cell>
          <cell r="E93" t="str">
            <v>JAWA</v>
          </cell>
          <cell r="F93" t="str">
            <v>JAWA TIMUR</v>
          </cell>
          <cell r="G93" t="str">
            <v>KOTA MOJOKERTO</v>
          </cell>
          <cell r="H93" t="str">
            <v>KRANGGAN</v>
          </cell>
          <cell r="I93" t="str">
            <v>GREEN FIELD</v>
          </cell>
          <cell r="J93" t="str">
            <v>SST</v>
          </cell>
          <cell r="K93">
            <v>-7.4764799999999987</v>
          </cell>
          <cell r="L93">
            <v>112.43680999999999</v>
          </cell>
          <cell r="M93" t="str">
            <v>Ready for Integration (RFI)</v>
          </cell>
          <cell r="N93" t="str">
            <v>Site 101 &amp; Site 106</v>
          </cell>
          <cell r="O93" t="str">
            <v>Berpotensi terjadi Commcase</v>
          </cell>
          <cell r="P93" t="str">
            <v>Tidak berpotensi hard comcase</v>
          </cell>
          <cell r="Q93" t="str">
            <v>2027-05-14 00:00:00</v>
          </cell>
          <cell r="R93">
            <v>2027</v>
          </cell>
          <cell r="S93" t="str">
            <v>30 Days</v>
          </cell>
          <cell r="T93" t="str">
            <v>20M</v>
          </cell>
          <cell r="U93" t="str">
            <v>No Need STR</v>
          </cell>
          <cell r="V93" t="str">
            <v>20m</v>
          </cell>
          <cell r="W93" t="str">
            <v>OK</v>
          </cell>
          <cell r="AC93" t="str">
            <v>IBS MERI</v>
          </cell>
          <cell r="AD93" t="str">
            <v>GREEN FIELD</v>
          </cell>
          <cell r="AE93" t="str">
            <v>SST</v>
          </cell>
          <cell r="AF93">
            <v>42</v>
          </cell>
          <cell r="AM93" t="str">
            <v>Go</v>
          </cell>
          <cell r="AO93">
            <v>1647952007</v>
          </cell>
          <cell r="AP93" t="str">
            <v>IBS MERI</v>
          </cell>
          <cell r="AQ93">
            <v>-7.4764799999999987</v>
          </cell>
          <cell r="AR93">
            <v>112.43680999999999</v>
          </cell>
          <cell r="AS93" t="str">
            <v>TBG GROUP</v>
          </cell>
          <cell r="AT93" t="str">
            <v>TBG</v>
          </cell>
          <cell r="AU93" t="str">
            <v>JAWA</v>
          </cell>
          <cell r="AV93" t="str">
            <v>JAWA TIMUR</v>
          </cell>
          <cell r="AW93" t="str">
            <v>KOTA MOJOKERTO</v>
          </cell>
          <cell r="AX93" t="str">
            <v>KRANGGAN</v>
          </cell>
          <cell r="AY93" t="str">
            <v>GREEN FIELD</v>
          </cell>
          <cell r="AZ93" t="str">
            <v>SST</v>
          </cell>
          <cell r="BA93">
            <v>42</v>
          </cell>
          <cell r="BB93">
            <v>0</v>
          </cell>
          <cell r="BC93">
            <v>0</v>
          </cell>
          <cell r="BD93" t="str">
            <v>Go</v>
          </cell>
        </row>
        <row r="94">
          <cell r="B94">
            <v>1647992007</v>
          </cell>
          <cell r="C94" t="str">
            <v>TBG GROUP</v>
          </cell>
          <cell r="D94" t="str">
            <v>TBG</v>
          </cell>
          <cell r="E94" t="str">
            <v>JAWA</v>
          </cell>
          <cell r="F94" t="str">
            <v>JAWA TIMUR</v>
          </cell>
          <cell r="G94" t="str">
            <v>KOTA MOJOKERTO</v>
          </cell>
          <cell r="H94" t="str">
            <v>KRANGGAN</v>
          </cell>
          <cell r="I94" t="str">
            <v>ROOF TOP</v>
          </cell>
          <cell r="J94" t="str">
            <v>POLE</v>
          </cell>
          <cell r="K94">
            <v>-7.4698199999999986</v>
          </cell>
          <cell r="L94">
            <v>112.43228999999999</v>
          </cell>
          <cell r="M94" t="str">
            <v>Ready for Integration (RFI)</v>
          </cell>
          <cell r="N94" t="str">
            <v>Site 101 &amp; Site 106</v>
          </cell>
          <cell r="O94" t="str">
            <v>Berpotensi terjadi Commcase</v>
          </cell>
          <cell r="P94" t="str">
            <v>Tidak berpotensi hard comcase</v>
          </cell>
          <cell r="Q94" t="str">
            <v>2034-11-07 00:00:00</v>
          </cell>
          <cell r="R94">
            <v>2034</v>
          </cell>
          <cell r="S94" t="str">
            <v>30 Days</v>
          </cell>
          <cell r="T94" t="str">
            <v>Building Height More Than 20M</v>
          </cell>
          <cell r="U94" t="str">
            <v>No need STR @23m</v>
          </cell>
          <cell r="V94" t="str">
            <v>23m</v>
          </cell>
          <cell r="W94" t="str">
            <v>OK</v>
          </cell>
          <cell r="AC94" t="str">
            <v>IBS MOJOKERTO_KOTA</v>
          </cell>
          <cell r="AD94" t="str">
            <v>ROOF TOP</v>
          </cell>
          <cell r="AE94" t="str">
            <v>POLE</v>
          </cell>
          <cell r="AF94">
            <v>28</v>
          </cell>
          <cell r="AM94" t="str">
            <v>Go</v>
          </cell>
          <cell r="AO94">
            <v>1647992007</v>
          </cell>
          <cell r="AP94" t="str">
            <v>IBS MOJOKERTO_KOTA</v>
          </cell>
          <cell r="AQ94">
            <v>-7.4698199999999986</v>
          </cell>
          <cell r="AR94">
            <v>112.43228999999999</v>
          </cell>
          <cell r="AS94" t="str">
            <v>TBG GROUP</v>
          </cell>
          <cell r="AT94" t="str">
            <v>TBG</v>
          </cell>
          <cell r="AU94" t="str">
            <v>JAWA</v>
          </cell>
          <cell r="AV94" t="str">
            <v>JAWA TIMUR</v>
          </cell>
          <cell r="AW94" t="str">
            <v>KOTA MOJOKERTO</v>
          </cell>
          <cell r="AX94" t="str">
            <v>KRANGGAN</v>
          </cell>
          <cell r="AY94" t="str">
            <v>ROOF TOP</v>
          </cell>
          <cell r="AZ94" t="str">
            <v>POLE</v>
          </cell>
          <cell r="BA94">
            <v>28</v>
          </cell>
          <cell r="BB94">
            <v>22</v>
          </cell>
          <cell r="BC94">
            <v>0</v>
          </cell>
          <cell r="BD94" t="str">
            <v>Go</v>
          </cell>
        </row>
        <row r="95">
          <cell r="B95">
            <v>160217104</v>
          </cell>
          <cell r="C95" t="str">
            <v>TBG GROUP</v>
          </cell>
          <cell r="D95" t="str">
            <v>TBG</v>
          </cell>
          <cell r="E95" t="str">
            <v>JAWA</v>
          </cell>
          <cell r="F95" t="str">
            <v>JAWA TIMUR</v>
          </cell>
          <cell r="G95" t="str">
            <v>KAB. JOMBANG</v>
          </cell>
          <cell r="H95" t="str">
            <v>JOMBANG</v>
          </cell>
          <cell r="I95" t="str">
            <v>GREEN FIELD</v>
          </cell>
          <cell r="J95" t="str">
            <v>SST</v>
          </cell>
          <cell r="K95">
            <v>-7.5454999999999997</v>
          </cell>
          <cell r="L95">
            <v>112.23339</v>
          </cell>
          <cell r="M95" t="str">
            <v>Ready for Integration (RFI)</v>
          </cell>
          <cell r="N95" t="str">
            <v>Site 101 &amp; Site 106</v>
          </cell>
          <cell r="O95" t="str">
            <v>Berpotensi terjadi Commcase</v>
          </cell>
          <cell r="P95" t="str">
            <v>Tidak berpotensi hard comcase</v>
          </cell>
          <cell r="Q95" t="str">
            <v>2033-03-01 00:00:00</v>
          </cell>
          <cell r="R95">
            <v>2033</v>
          </cell>
          <cell r="S95" t="str">
            <v>30 Days</v>
          </cell>
          <cell r="T95" t="str">
            <v>20M</v>
          </cell>
          <cell r="U95" t="str">
            <v>No Need STR</v>
          </cell>
          <cell r="V95" t="str">
            <v>20m</v>
          </cell>
          <cell r="W95" t="str">
            <v>OK</v>
          </cell>
          <cell r="AC95" t="str">
            <v>KEPATIHAN</v>
          </cell>
          <cell r="AD95" t="str">
            <v>GREEN FIELD</v>
          </cell>
          <cell r="AE95" t="str">
            <v>SST</v>
          </cell>
          <cell r="AF95">
            <v>52</v>
          </cell>
          <cell r="AM95" t="str">
            <v>Go</v>
          </cell>
          <cell r="AO95">
            <v>160217104</v>
          </cell>
          <cell r="AP95" t="str">
            <v>KEPATIHAN</v>
          </cell>
          <cell r="AQ95">
            <v>-7.5454999999999997</v>
          </cell>
          <cell r="AR95">
            <v>112.23339</v>
          </cell>
          <cell r="AS95" t="str">
            <v>TBG GROUP</v>
          </cell>
          <cell r="AT95" t="str">
            <v>TBG</v>
          </cell>
          <cell r="AU95" t="str">
            <v>JAWA</v>
          </cell>
          <cell r="AV95" t="str">
            <v>JAWA TIMUR</v>
          </cell>
          <cell r="AW95" t="str">
            <v>KAB. JOMBANG</v>
          </cell>
          <cell r="AX95" t="str">
            <v>JOMBANG</v>
          </cell>
          <cell r="AY95" t="str">
            <v>GREEN FIELD</v>
          </cell>
          <cell r="AZ95" t="str">
            <v>SST</v>
          </cell>
          <cell r="BA95">
            <v>52</v>
          </cell>
          <cell r="BB95">
            <v>0</v>
          </cell>
          <cell r="BC95">
            <v>0</v>
          </cell>
          <cell r="BD95" t="str">
            <v>Go</v>
          </cell>
        </row>
        <row r="96">
          <cell r="B96">
            <v>163317126</v>
          </cell>
          <cell r="C96" t="str">
            <v>TBG GROUP</v>
          </cell>
          <cell r="D96" t="str">
            <v>TBG</v>
          </cell>
          <cell r="E96" t="str">
            <v>JAWA</v>
          </cell>
          <cell r="F96" t="str">
            <v>JAWA TIMUR</v>
          </cell>
          <cell r="G96" t="str">
            <v>KAB. JOMBANG</v>
          </cell>
          <cell r="H96" t="str">
            <v>JOMBANG</v>
          </cell>
          <cell r="I96" t="str">
            <v>GREEN FIELD</v>
          </cell>
          <cell r="J96" t="str">
            <v>POLE</v>
          </cell>
          <cell r="K96">
            <v>-7.55253</v>
          </cell>
          <cell r="L96">
            <v>112.23177</v>
          </cell>
          <cell r="M96" t="str">
            <v>Ready for Integration (RFI)</v>
          </cell>
          <cell r="N96" t="str">
            <v>Site 101 &amp; Site 106</v>
          </cell>
          <cell r="O96" t="str">
            <v>Oke - tidak ada issue</v>
          </cell>
          <cell r="P96" t="str">
            <v>Tidak ada isue, Lahan Pemda, bisa diperpanjang</v>
          </cell>
          <cell r="Q96" t="str">
            <v>2026-12-31 00:00:00</v>
          </cell>
          <cell r="R96">
            <v>2026</v>
          </cell>
          <cell r="S96" t="str">
            <v>30 Days</v>
          </cell>
          <cell r="T96" t="str">
            <v>Height not Available (&lt;21M)</v>
          </cell>
          <cell r="U96" t="str">
            <v>No Need STR @18m</v>
          </cell>
          <cell r="V96" t="str">
            <v>18m</v>
          </cell>
          <cell r="W96" t="str">
            <v>OK</v>
          </cell>
          <cell r="Z96" t="str">
            <v>No Tenant</v>
          </cell>
          <cell r="AC96" t="str">
            <v>JOMBATAN 2</v>
          </cell>
          <cell r="AD96" t="str">
            <v>GREEN FIELD</v>
          </cell>
          <cell r="AE96" t="str">
            <v>MONO_POLE</v>
          </cell>
          <cell r="AF96">
            <v>18</v>
          </cell>
          <cell r="AM96" t="str">
            <v>Go</v>
          </cell>
          <cell r="AO96">
            <v>163317126</v>
          </cell>
          <cell r="AP96" t="str">
            <v>JOMBATAN 2</v>
          </cell>
          <cell r="AQ96">
            <v>-7.55253</v>
          </cell>
          <cell r="AR96">
            <v>112.23177</v>
          </cell>
          <cell r="AS96" t="str">
            <v>TBG GROUP</v>
          </cell>
          <cell r="AT96" t="str">
            <v>TBG</v>
          </cell>
          <cell r="AU96" t="str">
            <v>JAWA</v>
          </cell>
          <cell r="AV96" t="str">
            <v>JAWA TIMUR</v>
          </cell>
          <cell r="AW96" t="str">
            <v>KAB. JOMBANG</v>
          </cell>
          <cell r="AX96" t="str">
            <v>JOMBANG</v>
          </cell>
          <cell r="AY96" t="str">
            <v>GREEN FIELD</v>
          </cell>
          <cell r="AZ96" t="str">
            <v>POLE</v>
          </cell>
          <cell r="BA96">
            <v>18</v>
          </cell>
          <cell r="BB96">
            <v>0</v>
          </cell>
          <cell r="BC96">
            <v>0</v>
          </cell>
          <cell r="BD96" t="str">
            <v>Go</v>
          </cell>
        </row>
        <row r="97">
          <cell r="B97">
            <v>1647682003</v>
          </cell>
          <cell r="C97" t="str">
            <v>TBG GROUP</v>
          </cell>
          <cell r="D97" t="str">
            <v>TBG</v>
          </cell>
          <cell r="E97" t="str">
            <v>JAWA</v>
          </cell>
          <cell r="F97" t="str">
            <v>JAWA TIMUR</v>
          </cell>
          <cell r="G97" t="str">
            <v>KAB. LAMONGAN</v>
          </cell>
          <cell r="H97" t="str">
            <v>BABAT</v>
          </cell>
          <cell r="I97" t="str">
            <v>GREEN FIELD</v>
          </cell>
          <cell r="J97" t="str">
            <v>SST</v>
          </cell>
          <cell r="K97">
            <v>-7.1103699999999987</v>
          </cell>
          <cell r="L97">
            <v>112.17064999999999</v>
          </cell>
          <cell r="M97" t="str">
            <v>Ready for Integration (RFI)</v>
          </cell>
          <cell r="N97" t="str">
            <v>Site 101 &amp; Site 106</v>
          </cell>
          <cell r="O97" t="str">
            <v>Oke - tidak ada issue</v>
          </cell>
          <cell r="P97" t="str">
            <v>proses sewa lahan (Lahan waris)</v>
          </cell>
          <cell r="Q97" t="str">
            <v>2026-12-07 00:00:00</v>
          </cell>
          <cell r="R97">
            <v>2026</v>
          </cell>
          <cell r="S97" t="str">
            <v>30 Days</v>
          </cell>
          <cell r="T97" t="str">
            <v>20M</v>
          </cell>
          <cell r="U97" t="str">
            <v>No Need STR</v>
          </cell>
          <cell r="V97" t="str">
            <v>20m</v>
          </cell>
          <cell r="W97" t="str">
            <v>OK</v>
          </cell>
          <cell r="Z97" t="str">
            <v>SMART</v>
          </cell>
          <cell r="AA97">
            <v>47907</v>
          </cell>
          <cell r="AB97">
            <v>2031</v>
          </cell>
          <cell r="AC97" t="str">
            <v>IBS BABAT</v>
          </cell>
          <cell r="AD97" t="str">
            <v>GREEN FIELD</v>
          </cell>
          <cell r="AE97" t="str">
            <v>SST</v>
          </cell>
          <cell r="AF97">
            <v>42</v>
          </cell>
          <cell r="AM97" t="str">
            <v>Go</v>
          </cell>
          <cell r="AO97">
            <v>1647682003</v>
          </cell>
          <cell r="AP97" t="str">
            <v>IBS BABAT</v>
          </cell>
          <cell r="AQ97">
            <v>-7.1103699999999987</v>
          </cell>
          <cell r="AR97">
            <v>112.17064999999999</v>
          </cell>
          <cell r="AS97" t="str">
            <v>TBG GROUP</v>
          </cell>
          <cell r="AT97" t="str">
            <v>TBG</v>
          </cell>
          <cell r="AU97" t="str">
            <v>JAWA</v>
          </cell>
          <cell r="AV97" t="str">
            <v>JAWA TIMUR</v>
          </cell>
          <cell r="AW97" t="str">
            <v>KAB. LAMONGAN</v>
          </cell>
          <cell r="AX97" t="str">
            <v>BABAT</v>
          </cell>
          <cell r="AY97" t="str">
            <v>GREEN FIELD</v>
          </cell>
          <cell r="AZ97" t="str">
            <v>SST</v>
          </cell>
          <cell r="BA97">
            <v>42</v>
          </cell>
          <cell r="BB97">
            <v>0</v>
          </cell>
          <cell r="BC97">
            <v>0</v>
          </cell>
          <cell r="BD97" t="str">
            <v>Go</v>
          </cell>
        </row>
        <row r="98">
          <cell r="B98" t="str">
            <v>TBG03_EJ179</v>
          </cell>
          <cell r="C98" t="str">
            <v>TBG GROUP</v>
          </cell>
          <cell r="D98" t="str">
            <v>TBG</v>
          </cell>
          <cell r="E98" t="str">
            <v>JAWA</v>
          </cell>
          <cell r="F98" t="str">
            <v>JAWA TIMUR</v>
          </cell>
          <cell r="G98" t="str">
            <v>KAB. NGANJUK</v>
          </cell>
          <cell r="H98" t="str">
            <v>KERTOSONO</v>
          </cell>
          <cell r="I98" t="str">
            <v>GREEN FIELD</v>
          </cell>
          <cell r="J98" t="str">
            <v>SST</v>
          </cell>
          <cell r="K98">
            <v>-7.5895700000000001</v>
          </cell>
          <cell r="L98">
            <v>112.09632999999999</v>
          </cell>
          <cell r="M98" t="str">
            <v>Ready for Integration (RFI)</v>
          </cell>
          <cell r="N98" t="str">
            <v>Site 101 &amp; Site 106</v>
          </cell>
          <cell r="O98" t="str">
            <v>Berpotensi terjadi Commcase</v>
          </cell>
          <cell r="P98" t="str">
            <v>Tidak berpotensi hard comcase</v>
          </cell>
          <cell r="Q98" t="str">
            <v>2036-12-31 00:00:00</v>
          </cell>
          <cell r="R98">
            <v>2036</v>
          </cell>
          <cell r="S98" t="str">
            <v>30 Days</v>
          </cell>
          <cell r="T98" t="str">
            <v>20M</v>
          </cell>
          <cell r="U98" t="str">
            <v>No need STR</v>
          </cell>
          <cell r="V98" t="str">
            <v>20m</v>
          </cell>
          <cell r="W98" t="str">
            <v>OK</v>
          </cell>
          <cell r="AC98" t="str">
            <v>KERTOSONO</v>
          </cell>
          <cell r="AD98" t="str">
            <v>GREEN FIELD</v>
          </cell>
          <cell r="AE98" t="str">
            <v>SST</v>
          </cell>
          <cell r="AF98">
            <v>52</v>
          </cell>
          <cell r="AM98" t="str">
            <v>Go</v>
          </cell>
          <cell r="AO98" t="str">
            <v>TBG03_EJ179</v>
          </cell>
          <cell r="AP98" t="str">
            <v>KERTOSONO</v>
          </cell>
          <cell r="AQ98">
            <v>-7.5895700000000001</v>
          </cell>
          <cell r="AR98">
            <v>112.09632999999999</v>
          </cell>
          <cell r="AS98" t="str">
            <v>TBG GROUP</v>
          </cell>
          <cell r="AT98" t="str">
            <v>TBG</v>
          </cell>
          <cell r="AU98" t="str">
            <v>JAWA</v>
          </cell>
          <cell r="AV98" t="str">
            <v>JAWA TIMUR</v>
          </cell>
          <cell r="AW98" t="str">
            <v>KAB. NGANJUK</v>
          </cell>
          <cell r="AX98" t="str">
            <v>KERTOSONO</v>
          </cell>
          <cell r="AY98" t="str">
            <v>GREEN FIELD</v>
          </cell>
          <cell r="AZ98" t="str">
            <v>SST</v>
          </cell>
          <cell r="BA98">
            <v>52</v>
          </cell>
          <cell r="BB98">
            <v>0</v>
          </cell>
          <cell r="BC98">
            <v>0</v>
          </cell>
          <cell r="BD98" t="str">
            <v>Go</v>
          </cell>
        </row>
        <row r="99">
          <cell r="B99">
            <v>1628011001</v>
          </cell>
          <cell r="C99" t="str">
            <v>TBG GROUP</v>
          </cell>
          <cell r="D99" t="str">
            <v>TBG</v>
          </cell>
          <cell r="E99" t="str">
            <v>JAWA</v>
          </cell>
          <cell r="F99" t="str">
            <v>JAWA TIMUR</v>
          </cell>
          <cell r="G99" t="str">
            <v>KAB. KEDIRI</v>
          </cell>
          <cell r="H99" t="str">
            <v>GAMPENGREJO</v>
          </cell>
          <cell r="I99" t="str">
            <v>GREEN FIELD</v>
          </cell>
          <cell r="J99" t="str">
            <v>SST</v>
          </cell>
          <cell r="K99">
            <v>-7.77081</v>
          </cell>
          <cell r="L99">
            <v>112.0339</v>
          </cell>
          <cell r="M99" t="str">
            <v>Ready for Integration (RFI)</v>
          </cell>
          <cell r="N99" t="str">
            <v>Site 101 &amp; Site 106</v>
          </cell>
          <cell r="O99" t="str">
            <v>Berpotensi terjadi Commcase</v>
          </cell>
          <cell r="P99" t="str">
            <v>Tidak berpotensi hard comcase</v>
          </cell>
          <cell r="Q99" t="str">
            <v>2035-09-28 00:00:00</v>
          </cell>
          <cell r="R99">
            <v>2035</v>
          </cell>
          <cell r="S99" t="str">
            <v>30 Days</v>
          </cell>
          <cell r="T99" t="str">
            <v>20M</v>
          </cell>
          <cell r="U99" t="str">
            <v>No need STR</v>
          </cell>
          <cell r="V99" t="str">
            <v>20m</v>
          </cell>
          <cell r="W99" t="str">
            <v>OK</v>
          </cell>
          <cell r="AC99" t="str">
            <v>GAMPENGREJOSAMBIRESIK1</v>
          </cell>
          <cell r="AD99" t="str">
            <v>GREEN FIELD</v>
          </cell>
          <cell r="AE99" t="str">
            <v>SST</v>
          </cell>
          <cell r="AF99">
            <v>42</v>
          </cell>
          <cell r="AM99" t="str">
            <v>Go</v>
          </cell>
          <cell r="AO99">
            <v>1628011001</v>
          </cell>
          <cell r="AP99" t="str">
            <v>GAMPENGREJOSAMBIRESIK1</v>
          </cell>
          <cell r="AQ99">
            <v>-7.77081</v>
          </cell>
          <cell r="AR99">
            <v>112.0339</v>
          </cell>
          <cell r="AS99" t="str">
            <v>TBG GROUP</v>
          </cell>
          <cell r="AT99" t="str">
            <v>TBG</v>
          </cell>
          <cell r="AU99" t="str">
            <v>JAWA</v>
          </cell>
          <cell r="AV99" t="str">
            <v>JAWA TIMUR</v>
          </cell>
          <cell r="AW99" t="str">
            <v>KAB. KEDIRI</v>
          </cell>
          <cell r="AX99" t="str">
            <v>GAMPENGREJO</v>
          </cell>
          <cell r="AY99" t="str">
            <v>GREEN FIELD</v>
          </cell>
          <cell r="AZ99" t="str">
            <v>SST</v>
          </cell>
          <cell r="BA99">
            <v>42</v>
          </cell>
          <cell r="BB99">
            <v>0</v>
          </cell>
          <cell r="BC99">
            <v>0</v>
          </cell>
          <cell r="BD99" t="str">
            <v>Go</v>
          </cell>
        </row>
        <row r="100">
          <cell r="B100" t="str">
            <v>GTI12B046</v>
          </cell>
          <cell r="C100" t="str">
            <v>TBG GROUP</v>
          </cell>
          <cell r="D100" t="str">
            <v>GIHON</v>
          </cell>
          <cell r="E100" t="str">
            <v>JAWA</v>
          </cell>
          <cell r="F100" t="str">
            <v>BANTEN</v>
          </cell>
          <cell r="G100" t="str">
            <v>KOTA SERANG</v>
          </cell>
          <cell r="H100" t="str">
            <v>SERANG</v>
          </cell>
          <cell r="I100" t="str">
            <v>GREEN FIELD</v>
          </cell>
          <cell r="J100" t="str">
            <v>POLE</v>
          </cell>
          <cell r="K100">
            <v>-6.1164440000000004</v>
          </cell>
          <cell r="L100">
            <v>106.1515</v>
          </cell>
          <cell r="M100" t="str">
            <v>Ready for Integration (RFI)</v>
          </cell>
          <cell r="N100" t="str">
            <v>Site 101 &amp; Site 106</v>
          </cell>
          <cell r="S100" t="str">
            <v>30 Days</v>
          </cell>
          <cell r="T100" t="str">
            <v>On Assessment</v>
          </cell>
          <cell r="U100" t="str">
            <v>On Assessment</v>
          </cell>
          <cell r="V100" t="str">
            <v>20m</v>
          </cell>
          <cell r="W100" t="str">
            <v>OK</v>
          </cell>
          <cell r="AC100" t="str">
            <v>Perkotaan</v>
          </cell>
          <cell r="AD100" t="str">
            <v>GREEN FIELD</v>
          </cell>
          <cell r="AE100" t="str">
            <v>MONO_POLE</v>
          </cell>
          <cell r="AF100">
            <v>20</v>
          </cell>
          <cell r="AM100" t="str">
            <v>Go</v>
          </cell>
          <cell r="AO100" t="str">
            <v>GTI12B046</v>
          </cell>
          <cell r="AP100" t="str">
            <v>Perkotaan</v>
          </cell>
          <cell r="AQ100">
            <v>-6.1164440000000004</v>
          </cell>
          <cell r="AR100">
            <v>106.1515</v>
          </cell>
          <cell r="AS100" t="str">
            <v>TBG GROUP</v>
          </cell>
          <cell r="AT100" t="str">
            <v>GIHON</v>
          </cell>
          <cell r="AU100" t="str">
            <v>JAWA</v>
          </cell>
          <cell r="AV100" t="str">
            <v>BANTEN</v>
          </cell>
          <cell r="AW100" t="str">
            <v>KOTA SERANG</v>
          </cell>
          <cell r="AX100" t="str">
            <v>SERANG</v>
          </cell>
          <cell r="AY100" t="str">
            <v>GREEN FIELD</v>
          </cell>
          <cell r="AZ100" t="str">
            <v>POLE</v>
          </cell>
          <cell r="BA100">
            <v>20</v>
          </cell>
          <cell r="BB100">
            <v>18</v>
          </cell>
          <cell r="BC100">
            <v>0</v>
          </cell>
          <cell r="BD100" t="str">
            <v>Go</v>
          </cell>
        </row>
        <row r="101">
          <cell r="B101" t="str">
            <v>GTI12JB015</v>
          </cell>
          <cell r="C101" t="str">
            <v>TBG GROUP</v>
          </cell>
          <cell r="D101" t="str">
            <v>GIHON</v>
          </cell>
          <cell r="E101" t="str">
            <v>JAWA</v>
          </cell>
          <cell r="F101" t="str">
            <v>JAWA BARAT</v>
          </cell>
          <cell r="G101" t="str">
            <v>KAB. BEKASI</v>
          </cell>
          <cell r="H101" t="str">
            <v>TAMBUN SELATAN</v>
          </cell>
          <cell r="I101" t="str">
            <v>GREEN FIELD</v>
          </cell>
          <cell r="J101" t="str">
            <v>SST</v>
          </cell>
          <cell r="K101">
            <v>-6.2573889999999999</v>
          </cell>
          <cell r="L101">
            <v>107.06230600000001</v>
          </cell>
          <cell r="M101" t="str">
            <v>Ready for Integration (RFI)</v>
          </cell>
          <cell r="N101" t="str">
            <v>Site 101 &amp; Site 106</v>
          </cell>
          <cell r="S101" t="str">
            <v>30 Days</v>
          </cell>
          <cell r="T101" t="str">
            <v>On Assessment</v>
          </cell>
          <cell r="U101" t="str">
            <v>On Assessment</v>
          </cell>
          <cell r="V101" t="str">
            <v>20m</v>
          </cell>
          <cell r="W101" t="str">
            <v>OK</v>
          </cell>
          <cell r="AC101" t="str">
            <v>Kalibaru Setiadarma</v>
          </cell>
          <cell r="AD101" t="str">
            <v>GREEN FIELD</v>
          </cell>
          <cell r="AE101" t="str">
            <v>SST</v>
          </cell>
          <cell r="AF101">
            <v>31</v>
          </cell>
          <cell r="AM101" t="str">
            <v>Go</v>
          </cell>
          <cell r="AO101" t="str">
            <v>GTI12JB015</v>
          </cell>
          <cell r="AP101" t="str">
            <v>Kalibaru Setiadarma</v>
          </cell>
          <cell r="AQ101">
            <v>-6.2573889999999999</v>
          </cell>
          <cell r="AR101">
            <v>107.06230600000001</v>
          </cell>
          <cell r="AS101" t="str">
            <v>TBG GROUP</v>
          </cell>
          <cell r="AT101" t="str">
            <v>GIHON</v>
          </cell>
          <cell r="AU101" t="str">
            <v>JAWA</v>
          </cell>
          <cell r="AV101" t="str">
            <v>JAWA BARAT</v>
          </cell>
          <cell r="AW101" t="str">
            <v>KAB. BEKASI</v>
          </cell>
          <cell r="AX101" t="str">
            <v>TAMBUN SELATAN</v>
          </cell>
          <cell r="AY101" t="str">
            <v>GREEN FIELD</v>
          </cell>
          <cell r="AZ101" t="str">
            <v>SST</v>
          </cell>
          <cell r="BA101">
            <v>31</v>
          </cell>
          <cell r="BB101">
            <v>20</v>
          </cell>
          <cell r="BC101">
            <v>0</v>
          </cell>
          <cell r="BD101" t="str">
            <v>Go</v>
          </cell>
        </row>
        <row r="102">
          <cell r="B102" t="str">
            <v>GTI11B012</v>
          </cell>
          <cell r="C102" t="str">
            <v>TBG GROUP</v>
          </cell>
          <cell r="D102" t="str">
            <v>GIHON</v>
          </cell>
          <cell r="E102" t="str">
            <v>JAWA</v>
          </cell>
          <cell r="F102" t="str">
            <v>BANTEN</v>
          </cell>
          <cell r="G102" t="str">
            <v>KOTA CILEGON</v>
          </cell>
          <cell r="H102" t="str">
            <v>JOMBANG</v>
          </cell>
          <cell r="I102" t="str">
            <v>ROOF TOP</v>
          </cell>
          <cell r="J102" t="str">
            <v>POLE</v>
          </cell>
          <cell r="K102">
            <v>-6.0173889999999997</v>
          </cell>
          <cell r="L102">
            <v>106.05249999999999</v>
          </cell>
          <cell r="M102" t="str">
            <v>Ready for Integration (RFI)</v>
          </cell>
          <cell r="N102" t="str">
            <v>Site 106 Only</v>
          </cell>
          <cell r="S102" t="str">
            <v>30 Days</v>
          </cell>
          <cell r="T102" t="str">
            <v>On Assessment</v>
          </cell>
          <cell r="U102" t="str">
            <v>On Assessment</v>
          </cell>
          <cell r="V102" t="str">
            <v>20m</v>
          </cell>
          <cell r="W102" t="str">
            <v>OK</v>
          </cell>
          <cell r="AC102" t="str">
            <v>Station Cilegon</v>
          </cell>
          <cell r="AD102" t="str">
            <v>ROOF TOP</v>
          </cell>
          <cell r="AE102" t="str">
            <v>POLE</v>
          </cell>
          <cell r="AF102">
            <v>20</v>
          </cell>
          <cell r="AM102" t="str">
            <v>Go</v>
          </cell>
          <cell r="AO102" t="str">
            <v>GTI11B012</v>
          </cell>
          <cell r="AP102" t="str">
            <v>Station Cilegon</v>
          </cell>
          <cell r="AQ102">
            <v>-6.0173889999999997</v>
          </cell>
          <cell r="AR102">
            <v>106.05249999999999</v>
          </cell>
          <cell r="AS102" t="str">
            <v>TBG GROUP</v>
          </cell>
          <cell r="AT102" t="str">
            <v>GIHON</v>
          </cell>
          <cell r="AU102" t="str">
            <v>JAWA</v>
          </cell>
          <cell r="AV102" t="str">
            <v>BANTEN</v>
          </cell>
          <cell r="AW102" t="str">
            <v>KOTA CILEGON</v>
          </cell>
          <cell r="AX102" t="str">
            <v>JOMBANG</v>
          </cell>
          <cell r="AY102" t="str">
            <v>ROOF TOP</v>
          </cell>
          <cell r="AZ102" t="str">
            <v>POLE</v>
          </cell>
          <cell r="BA102">
            <v>21</v>
          </cell>
          <cell r="BB102">
            <v>0</v>
          </cell>
          <cell r="BC102">
            <v>0</v>
          </cell>
          <cell r="BD102" t="str">
            <v>Go</v>
          </cell>
        </row>
        <row r="103">
          <cell r="B103" t="str">
            <v>GTI25JBR023</v>
          </cell>
          <cell r="C103" t="str">
            <v>TBG GROUP</v>
          </cell>
          <cell r="D103" t="str">
            <v>GIHON</v>
          </cell>
          <cell r="E103" t="str">
            <v>JAWA</v>
          </cell>
          <cell r="F103" t="str">
            <v>JAWA BARAT</v>
          </cell>
          <cell r="G103" t="str">
            <v>KOTA BANDUNG</v>
          </cell>
          <cell r="H103" t="str">
            <v>CINAMBO</v>
          </cell>
          <cell r="I103" t="str">
            <v>ROOF TOP</v>
          </cell>
          <cell r="J103" t="str">
            <v>POLE</v>
          </cell>
          <cell r="K103">
            <v>-6.940518</v>
          </cell>
          <cell r="L103">
            <v>107.69117799999999</v>
          </cell>
          <cell r="M103" t="str">
            <v>Ready for Integration (RFI)</v>
          </cell>
          <cell r="N103" t="str">
            <v>Site 101 &amp; Site 106</v>
          </cell>
          <cell r="S103" t="str">
            <v>30 Days</v>
          </cell>
          <cell r="T103" t="str">
            <v>On Assessment</v>
          </cell>
          <cell r="U103" t="str">
            <v>On Assessment</v>
          </cell>
          <cell r="V103" t="str">
            <v>20m</v>
          </cell>
          <cell r="W103" t="str">
            <v>OK</v>
          </cell>
          <cell r="AC103" t="e">
            <v>#N/A</v>
          </cell>
          <cell r="AD103" t="e">
            <v>#N/A</v>
          </cell>
          <cell r="AE103" t="e">
            <v>#N/A</v>
          </cell>
          <cell r="AF103" t="e">
            <v>#N/A</v>
          </cell>
          <cell r="AM103" t="str">
            <v>Go</v>
          </cell>
          <cell r="AO103" t="str">
            <v>GTI25JBR023</v>
          </cell>
          <cell r="AP103" t="str">
            <v>Station Gedebage</v>
          </cell>
          <cell r="AQ103">
            <v>-6.940518</v>
          </cell>
          <cell r="AR103">
            <v>107.69117799999999</v>
          </cell>
          <cell r="AS103" t="str">
            <v>TBG GROUP</v>
          </cell>
          <cell r="AT103" t="str">
            <v>GIHON</v>
          </cell>
          <cell r="AU103" t="str">
            <v>JAWA</v>
          </cell>
          <cell r="AV103" t="str">
            <v>JAWA BARAT</v>
          </cell>
          <cell r="AW103" t="str">
            <v>KOTA BANDUNG</v>
          </cell>
          <cell r="AX103" t="str">
            <v>CINAMBO</v>
          </cell>
          <cell r="AY103" t="str">
            <v>ROOF TOP</v>
          </cell>
          <cell r="AZ103" t="str">
            <v>POLE</v>
          </cell>
          <cell r="BA103">
            <v>2</v>
          </cell>
          <cell r="BD103" t="str">
            <v>Go</v>
          </cell>
        </row>
        <row r="104">
          <cell r="B104" t="str">
            <v>GTI13JB020</v>
          </cell>
          <cell r="C104" t="str">
            <v>TBG GROUP</v>
          </cell>
          <cell r="D104" t="str">
            <v>GIHON</v>
          </cell>
          <cell r="E104" t="str">
            <v>JAWA</v>
          </cell>
          <cell r="F104" t="str">
            <v>JAWA BARAT</v>
          </cell>
          <cell r="G104" t="str">
            <v>KAB. PURWAKARTA</v>
          </cell>
          <cell r="H104" t="str">
            <v>PURWAKARTA</v>
          </cell>
          <cell r="I104" t="str">
            <v>GREEN FIELD</v>
          </cell>
          <cell r="J104" t="str">
            <v>SST</v>
          </cell>
          <cell r="K104">
            <v>-6.5440829999999997</v>
          </cell>
          <cell r="L104">
            <v>107.436222</v>
          </cell>
          <cell r="M104" t="str">
            <v>Ready for Integration (RFI)</v>
          </cell>
          <cell r="N104" t="str">
            <v>Site 101 &amp; Site 106</v>
          </cell>
          <cell r="S104" t="str">
            <v>30 Days</v>
          </cell>
          <cell r="T104" t="str">
            <v>On Assessment</v>
          </cell>
          <cell r="U104" t="str">
            <v>On Assessment</v>
          </cell>
          <cell r="V104" t="str">
            <v>20m</v>
          </cell>
          <cell r="W104" t="str">
            <v>OK</v>
          </cell>
          <cell r="AC104" t="str">
            <v>A Yani Purwamekar</v>
          </cell>
          <cell r="AD104" t="str">
            <v>GREEN FIELD</v>
          </cell>
          <cell r="AE104" t="str">
            <v>SST</v>
          </cell>
          <cell r="AF104">
            <v>35</v>
          </cell>
          <cell r="AM104" t="str">
            <v>Go</v>
          </cell>
          <cell r="AO104" t="str">
            <v>GTI13JB020</v>
          </cell>
          <cell r="AP104" t="str">
            <v>A Yani Purwamekar</v>
          </cell>
          <cell r="AQ104">
            <v>-6.5440829999999997</v>
          </cell>
          <cell r="AR104">
            <v>107.436222</v>
          </cell>
          <cell r="AS104" t="str">
            <v>TBG GROUP</v>
          </cell>
          <cell r="AT104" t="str">
            <v>GIHON</v>
          </cell>
          <cell r="AU104" t="str">
            <v>JAWA</v>
          </cell>
          <cell r="AV104" t="str">
            <v>JAWA BARAT</v>
          </cell>
          <cell r="AW104" t="str">
            <v>KAB. PURWAKARTA</v>
          </cell>
          <cell r="AX104" t="str">
            <v>PURWAKARTA</v>
          </cell>
          <cell r="AY104" t="str">
            <v>GREEN FIELD</v>
          </cell>
          <cell r="AZ104" t="str">
            <v>SST</v>
          </cell>
          <cell r="BA104">
            <v>36</v>
          </cell>
          <cell r="BB104">
            <v>20</v>
          </cell>
          <cell r="BC104">
            <v>0</v>
          </cell>
          <cell r="BD104" t="str">
            <v>Go</v>
          </cell>
        </row>
        <row r="105">
          <cell r="B105" t="str">
            <v>GTI13B023</v>
          </cell>
          <cell r="C105" t="str">
            <v>TBG GROUP</v>
          </cell>
          <cell r="D105" t="str">
            <v>GIHON</v>
          </cell>
          <cell r="E105" t="str">
            <v>JAWA</v>
          </cell>
          <cell r="F105" t="str">
            <v>BANTEN</v>
          </cell>
          <cell r="G105" t="str">
            <v>KOTA TANGERANG SELATAN</v>
          </cell>
          <cell r="H105" t="str">
            <v>SERPONG</v>
          </cell>
          <cell r="I105" t="str">
            <v>ROOF TOP</v>
          </cell>
          <cell r="J105" t="str">
            <v>POLE</v>
          </cell>
          <cell r="K105">
            <v>-6.3075400000000004</v>
          </cell>
          <cell r="L105">
            <v>106.68326</v>
          </cell>
          <cell r="M105" t="str">
            <v>Ready for Integration (RFI)</v>
          </cell>
          <cell r="N105" t="str">
            <v>Site 101 &amp; Site 106</v>
          </cell>
          <cell r="S105" t="str">
            <v>30 Days</v>
          </cell>
          <cell r="T105" t="str">
            <v>On Assessment</v>
          </cell>
          <cell r="U105" t="str">
            <v>On Assessment</v>
          </cell>
          <cell r="V105" t="str">
            <v>20m</v>
          </cell>
          <cell r="W105" t="str">
            <v>OK</v>
          </cell>
          <cell r="AC105" t="str">
            <v>Taman Tanjung</v>
          </cell>
          <cell r="AD105" t="str">
            <v>ROOF TOP</v>
          </cell>
          <cell r="AE105" t="str">
            <v>POLE</v>
          </cell>
          <cell r="AF105">
            <v>21</v>
          </cell>
          <cell r="AM105" t="str">
            <v>Go</v>
          </cell>
          <cell r="AO105" t="str">
            <v>GTI13B023</v>
          </cell>
          <cell r="AP105" t="str">
            <v>Taman Tanjung</v>
          </cell>
          <cell r="AQ105">
            <v>-6.3075400000000004</v>
          </cell>
          <cell r="AR105">
            <v>106.68326</v>
          </cell>
          <cell r="AS105" t="str">
            <v>TBG GROUP</v>
          </cell>
          <cell r="AT105" t="str">
            <v>GIHON</v>
          </cell>
          <cell r="AU105" t="str">
            <v>JAWA</v>
          </cell>
          <cell r="AV105" t="str">
            <v>BANTEN</v>
          </cell>
          <cell r="AW105" t="str">
            <v>KOTA TANGERANG SELATAN</v>
          </cell>
          <cell r="AX105" t="str">
            <v>SERPONG</v>
          </cell>
          <cell r="AY105" t="str">
            <v>ROOF TOP</v>
          </cell>
          <cell r="AZ105" t="str">
            <v>POLE</v>
          </cell>
          <cell r="BA105">
            <v>21</v>
          </cell>
          <cell r="BB105">
            <v>20</v>
          </cell>
          <cell r="BC105">
            <v>0</v>
          </cell>
          <cell r="BD105" t="str">
            <v>Go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78"/>
  <sheetViews>
    <sheetView workbookViewId="0">
      <selection activeCell="E6" sqref="E6"/>
    </sheetView>
  </sheetViews>
  <sheetFormatPr defaultColWidth="9" defaultRowHeight="15"/>
  <cols>
    <col min="1" max="1" width="2.5703125" customWidth="1"/>
    <col min="2" max="2" width="5.7109375" style="2" customWidth="1"/>
    <col min="3" max="3" width="21.140625" customWidth="1"/>
    <col min="4" max="4" width="19.5703125" customWidth="1"/>
    <col min="5" max="5" width="7.140625" style="2" customWidth="1"/>
    <col min="6" max="6" width="4.42578125" style="2" customWidth="1"/>
    <col min="7" max="8" width="11.5703125" customWidth="1"/>
    <col min="10" max="10" width="19.140625" customWidth="1"/>
    <col min="15" max="15" width="11.5703125" customWidth="1"/>
  </cols>
  <sheetData>
    <row r="1" spans="2:8">
      <c r="B1" s="20" t="s">
        <v>5</v>
      </c>
      <c r="C1" s="21"/>
      <c r="D1" s="21"/>
      <c r="E1" s="22"/>
      <c r="F1" s="22"/>
      <c r="G1" s="21"/>
      <c r="H1" s="21"/>
    </row>
    <row r="2" spans="2:8">
      <c r="B2" s="23" t="s">
        <v>6</v>
      </c>
      <c r="C2" s="23" t="s">
        <v>7</v>
      </c>
      <c r="D2" s="23" t="s">
        <v>8</v>
      </c>
      <c r="E2" s="24" t="s">
        <v>9</v>
      </c>
      <c r="F2" s="24" t="s">
        <v>10</v>
      </c>
      <c r="G2" s="24" t="s">
        <v>11</v>
      </c>
      <c r="H2" s="24" t="s">
        <v>12</v>
      </c>
    </row>
    <row r="3" spans="2:8" s="19" customFormat="1" ht="9.9499999999999993" customHeight="1">
      <c r="B3" s="13">
        <v>1</v>
      </c>
      <c r="C3" s="13" t="str">
        <f>VLOOKUP(D3,'Lampiran Segment'!I:R,10,0)</f>
        <v>Banten</v>
      </c>
      <c r="D3" s="16" t="s">
        <v>236</v>
      </c>
      <c r="E3" s="13">
        <f>COUNTIFS('Lampiran Site'!R:R,'Summary Ring'!D3)</f>
        <v>1</v>
      </c>
      <c r="F3" s="13" t="s">
        <v>13</v>
      </c>
      <c r="G3" s="25">
        <f>SUMIFS('Lampiran Segment'!K:K,'Lampiran Segment'!I:I,'Summary Ring'!D3)</f>
        <v>1751</v>
      </c>
      <c r="H3" s="26">
        <f>G3/E3</f>
        <v>1751</v>
      </c>
    </row>
    <row r="4" spans="2:8" s="19" customFormat="1" ht="9.9499999999999993" customHeight="1">
      <c r="B4" s="13">
        <v>2</v>
      </c>
      <c r="C4" s="13" t="str">
        <f>VLOOKUP(D4,'Lampiran Segment'!I:R,10,0)</f>
        <v>Banten</v>
      </c>
      <c r="D4" s="16" t="s">
        <v>239</v>
      </c>
      <c r="E4" s="13">
        <f>COUNTIFS('Lampiran Site'!R:R,'Summary Ring'!D4)</f>
        <v>1</v>
      </c>
      <c r="F4" s="13" t="s">
        <v>13</v>
      </c>
      <c r="G4" s="25">
        <f>SUMIFS('Lampiran Segment'!K:K,'Lampiran Segment'!I:I,'Summary Ring'!D4)</f>
        <v>2085.6</v>
      </c>
      <c r="H4" s="26">
        <f t="shared" ref="H4:H52" si="0">G4/E4</f>
        <v>2085.6</v>
      </c>
    </row>
    <row r="5" spans="2:8" s="19" customFormat="1" ht="9.9499999999999993" customHeight="1">
      <c r="B5" s="13">
        <v>3</v>
      </c>
      <c r="C5" s="13" t="str">
        <f>VLOOKUP(D5,'Lampiran Segment'!I:R,10,0)</f>
        <v>Banten</v>
      </c>
      <c r="D5" s="16" t="s">
        <v>240</v>
      </c>
      <c r="E5" s="13">
        <f>COUNTIFS('Lampiran Site'!R:R,'Summary Ring'!D5)</f>
        <v>1</v>
      </c>
      <c r="F5" s="13" t="s">
        <v>13</v>
      </c>
      <c r="G5" s="25">
        <f>SUMIFS('Lampiran Segment'!K:K,'Lampiran Segment'!I:I,'Summary Ring'!D5)</f>
        <v>3128</v>
      </c>
      <c r="H5" s="26">
        <f t="shared" si="0"/>
        <v>3128</v>
      </c>
    </row>
    <row r="6" spans="2:8" s="19" customFormat="1" ht="9.9499999999999993" customHeight="1">
      <c r="B6" s="13">
        <v>4</v>
      </c>
      <c r="C6" s="13" t="str">
        <f>VLOOKUP(D6,'Lampiran Segment'!I:R,10,0)</f>
        <v>Banten</v>
      </c>
      <c r="D6" s="16" t="s">
        <v>244</v>
      </c>
      <c r="E6" s="13">
        <f>COUNTIFS('Lampiran Site'!R:R,'Summary Ring'!D6)</f>
        <v>1</v>
      </c>
      <c r="F6" s="13" t="s">
        <v>13</v>
      </c>
      <c r="G6" s="25">
        <f>SUMIFS('Lampiran Segment'!K:K,'Lampiran Segment'!I:I,'Summary Ring'!D6)</f>
        <v>374</v>
      </c>
      <c r="H6" s="26">
        <f t="shared" si="0"/>
        <v>374</v>
      </c>
    </row>
    <row r="7" spans="2:8" s="19" customFormat="1" ht="9.9499999999999993" customHeight="1">
      <c r="B7" s="13">
        <v>6</v>
      </c>
      <c r="C7" s="13" t="str">
        <f>VLOOKUP(D7,'Lampiran Segment'!I:R,10,0)</f>
        <v>JAWA BARAT</v>
      </c>
      <c r="D7" s="16" t="s">
        <v>245</v>
      </c>
      <c r="E7" s="13">
        <f>COUNTIFS('Lampiran Site'!R:R,'Summary Ring'!D7)</f>
        <v>1</v>
      </c>
      <c r="F7" s="13" t="s">
        <v>13</v>
      </c>
      <c r="G7" s="25">
        <f>SUMIFS('Lampiran Segment'!K:K,'Lampiran Segment'!I:I,'Summary Ring'!D7)</f>
        <v>452</v>
      </c>
      <c r="H7" s="26">
        <f t="shared" si="0"/>
        <v>452</v>
      </c>
    </row>
    <row r="8" spans="2:8" s="19" customFormat="1" ht="9.9499999999999993" customHeight="1">
      <c r="B8" s="13">
        <v>7</v>
      </c>
      <c r="C8" s="13" t="str">
        <f>VLOOKUP(D8,'Lampiran Segment'!I:R,10,0)</f>
        <v>JAWA BARAT</v>
      </c>
      <c r="D8" s="16" t="s">
        <v>246</v>
      </c>
      <c r="E8" s="13">
        <f>COUNTIFS('Lampiran Site'!R:R,'Summary Ring'!D8)</f>
        <v>1</v>
      </c>
      <c r="F8" s="13" t="s">
        <v>13</v>
      </c>
      <c r="G8" s="25">
        <f>SUMIFS('Lampiran Segment'!K:K,'Lampiran Segment'!I:I,'Summary Ring'!D8)</f>
        <v>1889</v>
      </c>
      <c r="H8" s="26">
        <f t="shared" si="0"/>
        <v>1889</v>
      </c>
    </row>
    <row r="9" spans="2:8" s="19" customFormat="1" ht="9.9499999999999993" customHeight="1">
      <c r="B9" s="13">
        <v>8</v>
      </c>
      <c r="C9" s="13" t="str">
        <f>VLOOKUP(D9,'Lampiran Segment'!I:R,10,0)</f>
        <v>JAWA BARAT</v>
      </c>
      <c r="D9" s="16" t="s">
        <v>248</v>
      </c>
      <c r="E9" s="13">
        <f>COUNTIFS('Lampiran Site'!R:R,'Summary Ring'!D9)</f>
        <v>1</v>
      </c>
      <c r="F9" s="13" t="s">
        <v>13</v>
      </c>
      <c r="G9" s="25">
        <f>SUMIFS('Lampiran Segment'!K:K,'Lampiran Segment'!I:I,'Summary Ring'!D9)</f>
        <v>657</v>
      </c>
      <c r="H9" s="26">
        <f t="shared" si="0"/>
        <v>657</v>
      </c>
    </row>
    <row r="10" spans="2:8" s="19" customFormat="1" ht="9.9499999999999993" customHeight="1">
      <c r="B10" s="13">
        <v>9</v>
      </c>
      <c r="C10" s="13" t="str">
        <f>VLOOKUP(D10,'Lampiran Segment'!I:R,10,0)</f>
        <v>JAWA BARAT</v>
      </c>
      <c r="D10" s="16" t="s">
        <v>250</v>
      </c>
      <c r="E10" s="13">
        <f>COUNTIFS('Lampiran Site'!R:R,'Summary Ring'!D10)</f>
        <v>1</v>
      </c>
      <c r="F10" s="13" t="s">
        <v>13</v>
      </c>
      <c r="G10" s="25">
        <f>SUMIFS('Lampiran Segment'!K:K,'Lampiran Segment'!I:I,'Summary Ring'!D10)</f>
        <v>1312</v>
      </c>
      <c r="H10" s="26">
        <f t="shared" si="0"/>
        <v>1312</v>
      </c>
    </row>
    <row r="11" spans="2:8" s="19" customFormat="1" ht="9.9499999999999993" customHeight="1">
      <c r="B11" s="13">
        <v>10</v>
      </c>
      <c r="C11" s="13" t="str">
        <f>VLOOKUP(D11,'Lampiran Segment'!I:R,10,0)</f>
        <v>JAWA BARAT</v>
      </c>
      <c r="D11" s="16" t="s">
        <v>251</v>
      </c>
      <c r="E11" s="13">
        <f>COUNTIFS('Lampiran Site'!R:R,'Summary Ring'!D11)</f>
        <v>1</v>
      </c>
      <c r="F11" s="13" t="s">
        <v>13</v>
      </c>
      <c r="G11" s="25">
        <f>SUMIFS('Lampiran Segment'!K:K,'Lampiran Segment'!I:I,'Summary Ring'!D11)</f>
        <v>119</v>
      </c>
      <c r="H11" s="26">
        <f t="shared" si="0"/>
        <v>119</v>
      </c>
    </row>
    <row r="12" spans="2:8" s="19" customFormat="1" ht="9.9499999999999993" customHeight="1">
      <c r="B12" s="13">
        <v>11</v>
      </c>
      <c r="C12" s="13" t="str">
        <f>VLOOKUP(D12,'Lampiran Segment'!I:R,10,0)</f>
        <v>JAWA BARAT</v>
      </c>
      <c r="D12" s="16" t="s">
        <v>252</v>
      </c>
      <c r="E12" s="13">
        <f>COUNTIFS('Lampiran Site'!R:R,'Summary Ring'!D12)</f>
        <v>1</v>
      </c>
      <c r="F12" s="13" t="s">
        <v>13</v>
      </c>
      <c r="G12" s="25">
        <f>SUMIFS('Lampiran Segment'!K:K,'Lampiran Segment'!I:I,'Summary Ring'!D12)</f>
        <v>1146</v>
      </c>
      <c r="H12" s="26">
        <f t="shared" si="0"/>
        <v>1146</v>
      </c>
    </row>
    <row r="13" spans="2:8" s="19" customFormat="1" ht="9.9499999999999993" customHeight="1">
      <c r="B13" s="13">
        <v>12</v>
      </c>
      <c r="C13" s="13" t="str">
        <f>VLOOKUP(D13,'Lampiran Segment'!I:R,10,0)</f>
        <v>JAWA BARAT</v>
      </c>
      <c r="D13" s="16" t="s">
        <v>253</v>
      </c>
      <c r="E13" s="13">
        <f>COUNTIFS('Lampiran Site'!R:R,'Summary Ring'!D13)</f>
        <v>1</v>
      </c>
      <c r="F13" s="13" t="s">
        <v>13</v>
      </c>
      <c r="G13" s="25">
        <f>SUMIFS('Lampiran Segment'!K:K,'Lampiran Segment'!I:I,'Summary Ring'!D13)</f>
        <v>1147</v>
      </c>
      <c r="H13" s="26">
        <f t="shared" si="0"/>
        <v>1147</v>
      </c>
    </row>
    <row r="14" spans="2:8" s="19" customFormat="1" ht="9.9499999999999993" customHeight="1">
      <c r="B14" s="13">
        <v>13</v>
      </c>
      <c r="C14" s="13" t="str">
        <f>VLOOKUP(D14,'Lampiran Segment'!I:R,10,0)</f>
        <v>JAWA BARAT</v>
      </c>
      <c r="D14" s="16" t="s">
        <v>255</v>
      </c>
      <c r="E14" s="13">
        <f>COUNTIFS('Lampiran Site'!R:R,'Summary Ring'!D14)</f>
        <v>1</v>
      </c>
      <c r="F14" s="13" t="s">
        <v>13</v>
      </c>
      <c r="G14" s="25">
        <f>SUMIFS('Lampiran Segment'!K:K,'Lampiran Segment'!I:I,'Summary Ring'!D14)</f>
        <v>187</v>
      </c>
      <c r="H14" s="26">
        <f t="shared" si="0"/>
        <v>187</v>
      </c>
    </row>
    <row r="15" spans="2:8" s="19" customFormat="1" ht="9.9499999999999993" customHeight="1">
      <c r="B15" s="13">
        <v>14</v>
      </c>
      <c r="C15" s="13" t="str">
        <f>VLOOKUP(D15,'Lampiran Segment'!I:R,10,0)</f>
        <v>JAWA BARAT</v>
      </c>
      <c r="D15" s="16" t="s">
        <v>256</v>
      </c>
      <c r="E15" s="13">
        <f>COUNTIFS('Lampiran Site'!R:R,'Summary Ring'!D15)</f>
        <v>2</v>
      </c>
      <c r="F15" s="13" t="s">
        <v>13</v>
      </c>
      <c r="G15" s="25">
        <f>SUMIFS('Lampiran Segment'!K:K,'Lampiran Segment'!I:I,'Summary Ring'!D15)</f>
        <v>1064</v>
      </c>
      <c r="H15" s="26">
        <f t="shared" si="0"/>
        <v>532</v>
      </c>
    </row>
    <row r="16" spans="2:8" s="19" customFormat="1" ht="9.9499999999999993" customHeight="1">
      <c r="B16" s="13">
        <v>15</v>
      </c>
      <c r="C16" s="13" t="str">
        <f>VLOOKUP(D16,'Lampiran Segment'!I:R,10,0)</f>
        <v>JAWA BARAT</v>
      </c>
      <c r="D16" s="16" t="s">
        <v>257</v>
      </c>
      <c r="E16" s="13">
        <f>COUNTIFS('Lampiran Site'!R:R,'Summary Ring'!D16)</f>
        <v>1</v>
      </c>
      <c r="F16" s="13" t="s">
        <v>13</v>
      </c>
      <c r="G16" s="25">
        <f>SUMIFS('Lampiran Segment'!K:K,'Lampiran Segment'!I:I,'Summary Ring'!D16)</f>
        <v>815</v>
      </c>
      <c r="H16" s="26">
        <f t="shared" si="0"/>
        <v>815</v>
      </c>
    </row>
    <row r="17" spans="2:8" s="19" customFormat="1" ht="9.9499999999999993" customHeight="1">
      <c r="B17" s="13">
        <v>16</v>
      </c>
      <c r="C17" s="13" t="str">
        <f>VLOOKUP(D17,'Lampiran Segment'!I:R,10,0)</f>
        <v>JAWA BARAT</v>
      </c>
      <c r="D17" s="16" t="s">
        <v>258</v>
      </c>
      <c r="E17" s="13">
        <f>COUNTIFS('Lampiran Site'!R:R,'Summary Ring'!D17)</f>
        <v>1</v>
      </c>
      <c r="F17" s="13" t="s">
        <v>13</v>
      </c>
      <c r="G17" s="25">
        <f>SUMIFS('Lampiran Segment'!K:K,'Lampiran Segment'!I:I,'Summary Ring'!D17)</f>
        <v>1934</v>
      </c>
      <c r="H17" s="26">
        <f t="shared" si="0"/>
        <v>1934</v>
      </c>
    </row>
    <row r="18" spans="2:8" s="19" customFormat="1" ht="9.9499999999999993" customHeight="1">
      <c r="B18" s="13">
        <v>17</v>
      </c>
      <c r="C18" s="13" t="str">
        <f>VLOOKUP(D18,'Lampiran Segment'!I:R,10,0)</f>
        <v>JAWA BARAT</v>
      </c>
      <c r="D18" s="16" t="s">
        <v>259</v>
      </c>
      <c r="E18" s="13">
        <f>COUNTIFS('Lampiran Site'!R:R,'Summary Ring'!D18)</f>
        <v>1</v>
      </c>
      <c r="F18" s="13" t="s">
        <v>13</v>
      </c>
      <c r="G18" s="25">
        <f>SUMIFS('Lampiran Segment'!K:K,'Lampiran Segment'!I:I,'Summary Ring'!D18)</f>
        <v>1115</v>
      </c>
      <c r="H18" s="26">
        <f t="shared" si="0"/>
        <v>1115</v>
      </c>
    </row>
    <row r="19" spans="2:8" s="19" customFormat="1" ht="9.9499999999999993" customHeight="1">
      <c r="B19" s="13">
        <v>21</v>
      </c>
      <c r="C19" s="13" t="str">
        <f>VLOOKUP(D19,'Lampiran Segment'!I:R,10,0)</f>
        <v>JAWA BARAT</v>
      </c>
      <c r="D19" s="16" t="s">
        <v>260</v>
      </c>
      <c r="E19" s="13">
        <f>COUNTIFS('Lampiran Site'!R:R,'Summary Ring'!D19)</f>
        <v>1</v>
      </c>
      <c r="F19" s="13" t="s">
        <v>13</v>
      </c>
      <c r="G19" s="25">
        <f>SUMIFS('Lampiran Segment'!K:K,'Lampiran Segment'!I:I,'Summary Ring'!D19)</f>
        <v>963</v>
      </c>
      <c r="H19" s="26">
        <f t="shared" si="0"/>
        <v>963</v>
      </c>
    </row>
    <row r="20" spans="2:8" s="19" customFormat="1" ht="9.9499999999999993" customHeight="1">
      <c r="B20" s="13">
        <v>23</v>
      </c>
      <c r="C20" s="13" t="str">
        <f>VLOOKUP(D20,'Lampiran Segment'!I:R,10,0)</f>
        <v>Jawa Timur</v>
      </c>
      <c r="D20" s="16" t="s">
        <v>266</v>
      </c>
      <c r="E20" s="13">
        <f>COUNTIFS('Lampiran Site'!R:R,'Summary Ring'!D20)</f>
        <v>1</v>
      </c>
      <c r="F20" s="13" t="s">
        <v>13</v>
      </c>
      <c r="G20" s="25">
        <f>SUMIFS('Lampiran Segment'!K:K,'Lampiran Segment'!I:I,'Summary Ring'!D20)</f>
        <v>606</v>
      </c>
      <c r="H20" s="26">
        <f t="shared" si="0"/>
        <v>606</v>
      </c>
    </row>
    <row r="21" spans="2:8" s="19" customFormat="1" ht="9.9499999999999993" customHeight="1">
      <c r="B21" s="13">
        <v>24</v>
      </c>
      <c r="C21" s="13" t="str">
        <f>VLOOKUP(D21,'Lampiran Segment'!I:R,10,0)</f>
        <v>Jawa Timur</v>
      </c>
      <c r="D21" s="16" t="s">
        <v>268</v>
      </c>
      <c r="E21" s="13">
        <f>COUNTIFS('Lampiran Site'!R:R,'Summary Ring'!D21)</f>
        <v>1</v>
      </c>
      <c r="F21" s="13" t="s">
        <v>13</v>
      </c>
      <c r="G21" s="25">
        <f>SUMIFS('Lampiran Segment'!K:K,'Lampiran Segment'!I:I,'Summary Ring'!D21)</f>
        <v>1201</v>
      </c>
      <c r="H21" s="26">
        <f t="shared" si="0"/>
        <v>1201</v>
      </c>
    </row>
    <row r="22" spans="2:8" s="19" customFormat="1" ht="9.9499999999999993" customHeight="1">
      <c r="B22" s="13">
        <v>25</v>
      </c>
      <c r="C22" s="13" t="str">
        <f>VLOOKUP(D22,'Lampiran Segment'!I:R,10,0)</f>
        <v>Jawa Timur</v>
      </c>
      <c r="D22" s="16" t="s">
        <v>269</v>
      </c>
      <c r="E22" s="13">
        <f>COUNTIFS('Lampiran Site'!R:R,'Summary Ring'!D22)</f>
        <v>2</v>
      </c>
      <c r="F22" s="13" t="s">
        <v>13</v>
      </c>
      <c r="G22" s="25">
        <f>SUMIFS('Lampiran Segment'!K:K,'Lampiran Segment'!I:I,'Summary Ring'!D22)</f>
        <v>1328</v>
      </c>
      <c r="H22" s="26">
        <f t="shared" si="0"/>
        <v>664</v>
      </c>
    </row>
    <row r="23" spans="2:8" s="19" customFormat="1" ht="9.9499999999999993" customHeight="1">
      <c r="B23" s="13">
        <v>26</v>
      </c>
      <c r="C23" s="13" t="str">
        <f>VLOOKUP(D23,'Lampiran Segment'!I:R,10,0)</f>
        <v>Jawa Timur</v>
      </c>
      <c r="D23" s="16" t="s">
        <v>270</v>
      </c>
      <c r="E23" s="13">
        <f>COUNTIFS('Lampiran Site'!R:R,'Summary Ring'!D23)</f>
        <v>1</v>
      </c>
      <c r="F23" s="13" t="s">
        <v>13</v>
      </c>
      <c r="G23" s="25">
        <f>SUMIFS('Lampiran Segment'!K:K,'Lampiran Segment'!I:I,'Summary Ring'!D23)</f>
        <v>520</v>
      </c>
      <c r="H23" s="26">
        <f t="shared" si="0"/>
        <v>520</v>
      </c>
    </row>
    <row r="24" spans="2:8" s="19" customFormat="1" ht="9.9499999999999993" customHeight="1">
      <c r="B24" s="13">
        <v>27</v>
      </c>
      <c r="C24" s="13" t="str">
        <f>VLOOKUP(D24,'Lampiran Segment'!I:R,10,0)</f>
        <v>Jawa Timur</v>
      </c>
      <c r="D24" s="16" t="s">
        <v>273</v>
      </c>
      <c r="E24" s="13">
        <f>COUNTIFS('Lampiran Site'!R:R,'Summary Ring'!D24)</f>
        <v>1</v>
      </c>
      <c r="F24" s="13" t="s">
        <v>13</v>
      </c>
      <c r="G24" s="25">
        <f>SUMIFS('Lampiran Segment'!K:K,'Lampiran Segment'!I:I,'Summary Ring'!D24)</f>
        <v>1891</v>
      </c>
      <c r="H24" s="26">
        <f t="shared" si="0"/>
        <v>1891</v>
      </c>
    </row>
    <row r="25" spans="2:8" s="19" customFormat="1" ht="9.9499999999999993" customHeight="1">
      <c r="B25" s="13">
        <v>28</v>
      </c>
      <c r="C25" s="13" t="str">
        <f>VLOOKUP(D25,'Lampiran Segment'!I:R,10,0)</f>
        <v>Jawa Timur</v>
      </c>
      <c r="D25" s="16" t="s">
        <v>277</v>
      </c>
      <c r="E25" s="13">
        <f>COUNTIFS('Lampiran Site'!R:R,'Summary Ring'!D25)</f>
        <v>1</v>
      </c>
      <c r="F25" s="13" t="s">
        <v>13</v>
      </c>
      <c r="G25" s="25">
        <f>SUMIFS('Lampiran Segment'!K:K,'Lampiran Segment'!I:I,'Summary Ring'!D25)</f>
        <v>1721</v>
      </c>
      <c r="H25" s="26">
        <f t="shared" si="0"/>
        <v>1721</v>
      </c>
    </row>
    <row r="26" spans="2:8" s="19" customFormat="1" ht="9.9499999999999993" customHeight="1">
      <c r="B26" s="13">
        <v>29</v>
      </c>
      <c r="C26" s="13" t="str">
        <f>VLOOKUP(D26,'Lampiran Segment'!I:R,10,0)</f>
        <v>Jawa Timur</v>
      </c>
      <c r="D26" s="16" t="s">
        <v>278</v>
      </c>
      <c r="E26" s="13">
        <f>COUNTIFS('Lampiran Site'!R:R,'Summary Ring'!D26)</f>
        <v>1</v>
      </c>
      <c r="F26" s="13" t="s">
        <v>13</v>
      </c>
      <c r="G26" s="25">
        <f>SUMIFS('Lampiran Segment'!K:K,'Lampiran Segment'!I:I,'Summary Ring'!D26)</f>
        <v>997</v>
      </c>
      <c r="H26" s="26">
        <f t="shared" si="0"/>
        <v>997</v>
      </c>
    </row>
    <row r="27" spans="2:8" s="19" customFormat="1" ht="9.9499999999999993" customHeight="1">
      <c r="B27" s="13">
        <v>30</v>
      </c>
      <c r="C27" s="13" t="str">
        <f>VLOOKUP(D27,'Lampiran Segment'!I:R,10,0)</f>
        <v>Jawa Timur</v>
      </c>
      <c r="D27" s="16" t="s">
        <v>279</v>
      </c>
      <c r="E27" s="13">
        <f>COUNTIFS('Lampiran Site'!R:R,'Summary Ring'!D27)</f>
        <v>1</v>
      </c>
      <c r="F27" s="13" t="s">
        <v>13</v>
      </c>
      <c r="G27" s="25">
        <f>SUMIFS('Lampiran Segment'!K:K,'Lampiran Segment'!I:I,'Summary Ring'!D27)</f>
        <v>1332</v>
      </c>
      <c r="H27" s="26">
        <f t="shared" si="0"/>
        <v>1332</v>
      </c>
    </row>
    <row r="28" spans="2:8" s="19" customFormat="1" ht="9.9499999999999993" customHeight="1">
      <c r="B28" s="13">
        <v>31</v>
      </c>
      <c r="C28" s="13" t="str">
        <f>VLOOKUP(D28,'Lampiran Segment'!I:R,10,0)</f>
        <v>Jawa Timur</v>
      </c>
      <c r="D28" s="16" t="s">
        <v>281</v>
      </c>
      <c r="E28" s="13">
        <f>COUNTIFS('Lampiran Site'!R:R,'Summary Ring'!D28)</f>
        <v>1</v>
      </c>
      <c r="F28" s="13" t="s">
        <v>13</v>
      </c>
      <c r="G28" s="25">
        <f>SUMIFS('Lampiran Segment'!K:K,'Lampiran Segment'!I:I,'Summary Ring'!D28)</f>
        <v>895</v>
      </c>
      <c r="H28" s="26">
        <f t="shared" si="0"/>
        <v>895</v>
      </c>
    </row>
    <row r="29" spans="2:8" s="19" customFormat="1" ht="9.9499999999999993" customHeight="1">
      <c r="B29" s="13">
        <v>32</v>
      </c>
      <c r="C29" s="13" t="str">
        <f>VLOOKUP(D29,'Lampiran Segment'!I:R,10,0)</f>
        <v>Daerah Istimewa Yogyakarta</v>
      </c>
      <c r="D29" s="16" t="s">
        <v>285</v>
      </c>
      <c r="E29" s="13">
        <f>COUNTIFS('Lampiran Site'!R:R,'Summary Ring'!D29)</f>
        <v>1</v>
      </c>
      <c r="F29" s="13" t="s">
        <v>13</v>
      </c>
      <c r="G29" s="25">
        <f>SUMIFS('Lampiran Segment'!K:K,'Lampiran Segment'!I:I,'Summary Ring'!D29)</f>
        <v>1439</v>
      </c>
      <c r="H29" s="26">
        <f t="shared" si="0"/>
        <v>1439</v>
      </c>
    </row>
    <row r="30" spans="2:8" s="19" customFormat="1" ht="9.9499999999999993" customHeight="1">
      <c r="B30" s="13">
        <v>35</v>
      </c>
      <c r="C30" s="13" t="str">
        <f>VLOOKUP(D30,'Lampiran Segment'!I:R,10,0)</f>
        <v>JAWA TENGAH</v>
      </c>
      <c r="D30" s="16" t="s">
        <v>289</v>
      </c>
      <c r="E30" s="13">
        <f>COUNTIFS('Lampiran Site'!R:R,'Summary Ring'!D30)</f>
        <v>1</v>
      </c>
      <c r="F30" s="13" t="s">
        <v>13</v>
      </c>
      <c r="G30" s="25">
        <f>SUMIFS('Lampiran Segment'!K:K,'Lampiran Segment'!I:I,'Summary Ring'!D30)</f>
        <v>2194.7999999999997</v>
      </c>
      <c r="H30" s="26">
        <f t="shared" si="0"/>
        <v>2194.7999999999997</v>
      </c>
    </row>
    <row r="31" spans="2:8" s="19" customFormat="1" ht="9.9499999999999993" customHeight="1">
      <c r="B31" s="13">
        <v>36</v>
      </c>
      <c r="C31" s="13" t="str">
        <f>VLOOKUP(D31,'Lampiran Segment'!I:R,10,0)</f>
        <v>JAWA TENGAH</v>
      </c>
      <c r="D31" s="16" t="s">
        <v>292</v>
      </c>
      <c r="E31" s="13">
        <f>COUNTIFS('Lampiran Site'!R:R,'Summary Ring'!D31)</f>
        <v>1</v>
      </c>
      <c r="F31" s="13" t="s">
        <v>13</v>
      </c>
      <c r="G31" s="25">
        <f>SUMIFS('Lampiran Segment'!K:K,'Lampiran Segment'!I:I,'Summary Ring'!D31)</f>
        <v>1869</v>
      </c>
      <c r="H31" s="26">
        <f t="shared" si="0"/>
        <v>1869</v>
      </c>
    </row>
    <row r="32" spans="2:8" s="19" customFormat="1" ht="9.9499999999999993" customHeight="1">
      <c r="B32" s="13">
        <v>38</v>
      </c>
      <c r="C32" s="13" t="str">
        <f>VLOOKUP(D32,'Lampiran Segment'!I:R,10,0)</f>
        <v>JAWA TENGAH</v>
      </c>
      <c r="D32" s="16" t="s">
        <v>295</v>
      </c>
      <c r="E32" s="13">
        <f>COUNTIFS('Lampiran Site'!R:R,'Summary Ring'!D32)</f>
        <v>1</v>
      </c>
      <c r="F32" s="13" t="s">
        <v>13</v>
      </c>
      <c r="G32" s="25">
        <f>SUMIFS('Lampiran Segment'!K:K,'Lampiran Segment'!I:I,'Summary Ring'!D32)</f>
        <v>317</v>
      </c>
      <c r="H32" s="26">
        <f t="shared" si="0"/>
        <v>317</v>
      </c>
    </row>
    <row r="33" spans="2:8" s="19" customFormat="1" ht="9.9499999999999993" customHeight="1">
      <c r="B33" s="13">
        <v>39</v>
      </c>
      <c r="C33" s="13" t="str">
        <f>VLOOKUP(D33,'Lampiran Segment'!I:R,10,0)</f>
        <v>DKI JAKARTA</v>
      </c>
      <c r="D33" s="16" t="s">
        <v>298</v>
      </c>
      <c r="E33" s="13">
        <f>COUNTIFS('Lampiran Site'!R:R,'Summary Ring'!D33)</f>
        <v>1</v>
      </c>
      <c r="F33" s="13" t="s">
        <v>13</v>
      </c>
      <c r="G33" s="25">
        <f>SUMIFS('Lampiran Segment'!K:K,'Lampiran Segment'!I:I,'Summary Ring'!D33)</f>
        <v>396</v>
      </c>
      <c r="H33" s="26">
        <f t="shared" si="0"/>
        <v>396</v>
      </c>
    </row>
    <row r="34" spans="2:8" s="19" customFormat="1" ht="9.9499999999999993" customHeight="1">
      <c r="B34" s="13">
        <v>40</v>
      </c>
      <c r="C34" s="13" t="str">
        <f>VLOOKUP(D34,'Lampiran Segment'!I:R,10,0)</f>
        <v>DKI JAKARTA</v>
      </c>
      <c r="D34" s="16" t="s">
        <v>299</v>
      </c>
      <c r="E34" s="13">
        <f>COUNTIFS('Lampiran Site'!R:R,'Summary Ring'!D34)</f>
        <v>1</v>
      </c>
      <c r="F34" s="13" t="s">
        <v>13</v>
      </c>
      <c r="G34" s="25">
        <f>SUMIFS('Lampiran Segment'!K:K,'Lampiran Segment'!I:I,'Summary Ring'!D34)</f>
        <v>1507</v>
      </c>
      <c r="H34" s="26">
        <f t="shared" si="0"/>
        <v>1507</v>
      </c>
    </row>
    <row r="35" spans="2:8" s="19" customFormat="1" ht="9.9499999999999993" customHeight="1">
      <c r="B35" s="13">
        <v>42</v>
      </c>
      <c r="C35" s="13" t="str">
        <f>VLOOKUP(D35,'Lampiran Segment'!I:R,10,0)</f>
        <v>DKI JAKARTA</v>
      </c>
      <c r="D35" s="16" t="s">
        <v>300</v>
      </c>
      <c r="E35" s="13">
        <f>COUNTIFS('Lampiran Site'!R:R,'Summary Ring'!D35)</f>
        <v>1</v>
      </c>
      <c r="F35" s="13" t="s">
        <v>13</v>
      </c>
      <c r="G35" s="25">
        <f>SUMIFS('Lampiran Segment'!K:K,'Lampiran Segment'!I:I,'Summary Ring'!D35)</f>
        <v>903</v>
      </c>
      <c r="H35" s="26">
        <f t="shared" si="0"/>
        <v>903</v>
      </c>
    </row>
    <row r="36" spans="2:8" s="19" customFormat="1" ht="9.9499999999999993" customHeight="1">
      <c r="B36" s="13">
        <v>43</v>
      </c>
      <c r="C36" s="13" t="str">
        <f>VLOOKUP(D36,'Lampiran Segment'!I:R,10,0)</f>
        <v>DKI JAKARTA</v>
      </c>
      <c r="D36" s="16" t="s">
        <v>301</v>
      </c>
      <c r="E36" s="13">
        <f>COUNTIFS('Lampiran Site'!R:R,'Summary Ring'!D36)</f>
        <v>1</v>
      </c>
      <c r="F36" s="13" t="s">
        <v>13</v>
      </c>
      <c r="G36" s="25">
        <f>SUMIFS('Lampiran Segment'!K:K,'Lampiran Segment'!I:I,'Summary Ring'!D36)</f>
        <v>963</v>
      </c>
      <c r="H36" s="26">
        <f t="shared" si="0"/>
        <v>963</v>
      </c>
    </row>
    <row r="37" spans="2:8" s="19" customFormat="1" ht="9.9499999999999993" customHeight="1">
      <c r="B37" s="13">
        <v>46</v>
      </c>
      <c r="C37" s="13" t="str">
        <f>VLOOKUP(D37,'Lampiran Segment'!I:R,10,0)</f>
        <v>DKI JAKARTA</v>
      </c>
      <c r="D37" s="16" t="s">
        <v>302</v>
      </c>
      <c r="E37" s="13">
        <f>COUNTIFS('Lampiran Site'!R:R,'Summary Ring'!D37)</f>
        <v>1</v>
      </c>
      <c r="F37" s="13" t="s">
        <v>13</v>
      </c>
      <c r="G37" s="25">
        <f>SUMIFS('Lampiran Segment'!K:K,'Lampiran Segment'!I:I,'Summary Ring'!D37)</f>
        <v>726</v>
      </c>
      <c r="H37" s="26">
        <f t="shared" si="0"/>
        <v>726</v>
      </c>
    </row>
    <row r="38" spans="2:8" s="19" customFormat="1" ht="9.9499999999999993" customHeight="1">
      <c r="B38" s="13">
        <v>50</v>
      </c>
      <c r="C38" s="13" t="str">
        <f>VLOOKUP(D38,'Lampiran Segment'!I:R,10,0)</f>
        <v>DKI JAKARTA</v>
      </c>
      <c r="D38" s="16" t="s">
        <v>303</v>
      </c>
      <c r="E38" s="13">
        <f>COUNTIFS('Lampiran Site'!R:R,'Summary Ring'!D38)</f>
        <v>1</v>
      </c>
      <c r="F38" s="13" t="s">
        <v>13</v>
      </c>
      <c r="G38" s="25">
        <f>SUMIFS('Lampiran Segment'!K:K,'Lampiran Segment'!I:I,'Summary Ring'!D38)</f>
        <v>81</v>
      </c>
      <c r="H38" s="26">
        <f t="shared" si="0"/>
        <v>81</v>
      </c>
    </row>
    <row r="39" spans="2:8" s="19" customFormat="1" ht="9.9499999999999993" customHeight="1">
      <c r="B39" s="13">
        <v>51</v>
      </c>
      <c r="C39" s="13" t="str">
        <f>VLOOKUP(D39,'Lampiran Segment'!I:R,10,0)</f>
        <v>Banten</v>
      </c>
      <c r="D39" s="16" t="s">
        <v>235</v>
      </c>
      <c r="E39" s="13">
        <f>COUNTIFS('Lampiran Site'!R:R,'Summary Ring'!D39)</f>
        <v>1</v>
      </c>
      <c r="F39" s="13" t="s">
        <v>13</v>
      </c>
      <c r="G39" s="25">
        <f>SUMIFS('Lampiran Segment'!K:K,'Lampiran Segment'!I:I,'Summary Ring'!D39)</f>
        <v>736</v>
      </c>
      <c r="H39" s="26">
        <f t="shared" si="0"/>
        <v>736</v>
      </c>
    </row>
    <row r="40" spans="2:8" s="19" customFormat="1" ht="9.9499999999999993" customHeight="1">
      <c r="B40" s="13">
        <v>52</v>
      </c>
      <c r="C40" s="13" t="str">
        <f>VLOOKUP(D40,'Lampiran Segment'!I:R,10,0)</f>
        <v>Banten</v>
      </c>
      <c r="D40" s="16" t="s">
        <v>237</v>
      </c>
      <c r="E40" s="13">
        <f>COUNTIFS('Lampiran Site'!R:R,'Summary Ring'!D40)</f>
        <v>1</v>
      </c>
      <c r="F40" s="13" t="s">
        <v>13</v>
      </c>
      <c r="G40" s="25">
        <f>SUMIFS('Lampiran Segment'!K:K,'Lampiran Segment'!I:I,'Summary Ring'!D40)</f>
        <v>445</v>
      </c>
      <c r="H40" s="26">
        <f t="shared" si="0"/>
        <v>445</v>
      </c>
    </row>
    <row r="41" spans="2:8" s="19" customFormat="1" ht="9.9499999999999993" customHeight="1">
      <c r="B41" s="13">
        <v>53</v>
      </c>
      <c r="C41" s="13" t="str">
        <f>VLOOKUP(D41,'Lampiran Segment'!I:R,10,0)</f>
        <v>Banten</v>
      </c>
      <c r="D41" s="16" t="s">
        <v>238</v>
      </c>
      <c r="E41" s="13">
        <f>COUNTIFS('Lampiran Site'!R:R,'Summary Ring'!D41)</f>
        <v>1</v>
      </c>
      <c r="F41" s="13" t="s">
        <v>13</v>
      </c>
      <c r="G41" s="25">
        <f>SUMIFS('Lampiran Segment'!K:K,'Lampiran Segment'!I:I,'Summary Ring'!D41)</f>
        <v>1891</v>
      </c>
      <c r="H41" s="26">
        <f t="shared" si="0"/>
        <v>1891</v>
      </c>
    </row>
    <row r="42" spans="2:8" s="19" customFormat="1" ht="9.9499999999999993" customHeight="1">
      <c r="B42" s="13">
        <v>54</v>
      </c>
      <c r="C42" s="13" t="str">
        <f>VLOOKUP(D42,'Lampiran Segment'!I:R,10,0)</f>
        <v>Banten</v>
      </c>
      <c r="D42" s="16" t="s">
        <v>241</v>
      </c>
      <c r="E42" s="13">
        <f>COUNTIFS('Lampiran Site'!R:R,'Summary Ring'!D42)</f>
        <v>1</v>
      </c>
      <c r="F42" s="13" t="s">
        <v>13</v>
      </c>
      <c r="G42" s="25">
        <f>SUMIFS('Lampiran Segment'!K:K,'Lampiran Segment'!I:I,'Summary Ring'!D42)</f>
        <v>1370</v>
      </c>
      <c r="H42" s="26">
        <f t="shared" si="0"/>
        <v>1370</v>
      </c>
    </row>
    <row r="43" spans="2:8" s="19" customFormat="1" ht="9.9499999999999993" customHeight="1">
      <c r="B43" s="13">
        <v>55</v>
      </c>
      <c r="C43" s="13" t="str">
        <f>VLOOKUP(D43,'Lampiran Segment'!I:R,10,0)</f>
        <v>Banten</v>
      </c>
      <c r="D43" s="16" t="s">
        <v>242</v>
      </c>
      <c r="E43" s="13">
        <f>COUNTIFS('Lampiran Site'!R:R,'Summary Ring'!D43)</f>
        <v>1</v>
      </c>
      <c r="F43" s="13" t="s">
        <v>13</v>
      </c>
      <c r="G43" s="25">
        <f>SUMIFS('Lampiran Segment'!K:K,'Lampiran Segment'!I:I,'Summary Ring'!D43)</f>
        <v>1567</v>
      </c>
      <c r="H43" s="26">
        <f t="shared" si="0"/>
        <v>1567</v>
      </c>
    </row>
    <row r="44" spans="2:8" s="19" customFormat="1" ht="9.9499999999999993" customHeight="1">
      <c r="B44" s="13">
        <v>56</v>
      </c>
      <c r="C44" s="13" t="str">
        <f>VLOOKUP(D44,'Lampiran Segment'!I:R,10,0)</f>
        <v>Banten</v>
      </c>
      <c r="D44" s="16" t="s">
        <v>243</v>
      </c>
      <c r="E44" s="13">
        <f>COUNTIFS('Lampiran Site'!R:R,'Summary Ring'!D44)</f>
        <v>1</v>
      </c>
      <c r="F44" s="13" t="s">
        <v>13</v>
      </c>
      <c r="G44" s="25">
        <f>SUMIFS('Lampiran Segment'!K:K,'Lampiran Segment'!I:I,'Summary Ring'!D44)</f>
        <v>810</v>
      </c>
      <c r="H44" s="26">
        <f t="shared" si="0"/>
        <v>810</v>
      </c>
    </row>
    <row r="45" spans="2:8" s="19" customFormat="1" ht="9.9499999999999993" customHeight="1">
      <c r="B45" s="13">
        <v>57</v>
      </c>
      <c r="C45" s="13" t="str">
        <f>VLOOKUP(D45,'Lampiran Segment'!I:R,10,0)</f>
        <v>JAWA BARAT</v>
      </c>
      <c r="D45" s="16" t="s">
        <v>247</v>
      </c>
      <c r="E45" s="13">
        <f>COUNTIFS('Lampiran Site'!R:R,'Summary Ring'!D45)</f>
        <v>1</v>
      </c>
      <c r="F45" s="13" t="s">
        <v>13</v>
      </c>
      <c r="G45" s="25">
        <f>SUMIFS('Lampiran Segment'!K:K,'Lampiran Segment'!I:I,'Summary Ring'!D45)</f>
        <v>802</v>
      </c>
      <c r="H45" s="26">
        <f t="shared" si="0"/>
        <v>802</v>
      </c>
    </row>
    <row r="46" spans="2:8" s="19" customFormat="1" ht="9.9499999999999993" customHeight="1">
      <c r="B46" s="13">
        <v>58</v>
      </c>
      <c r="C46" s="13" t="str">
        <f>VLOOKUP(D46,'Lampiran Segment'!I:R,10,0)</f>
        <v>JAWA BARAT</v>
      </c>
      <c r="D46" s="16" t="s">
        <v>249</v>
      </c>
      <c r="E46" s="13">
        <f>COUNTIFS('Lampiran Site'!R:R,'Summary Ring'!D46)</f>
        <v>1</v>
      </c>
      <c r="F46" s="13" t="s">
        <v>13</v>
      </c>
      <c r="G46" s="25">
        <f>SUMIFS('Lampiran Segment'!K:K,'Lampiran Segment'!I:I,'Summary Ring'!D46)</f>
        <v>664</v>
      </c>
      <c r="H46" s="26">
        <f t="shared" si="0"/>
        <v>664</v>
      </c>
    </row>
    <row r="47" spans="2:8" s="19" customFormat="1" ht="9.9499999999999993" customHeight="1">
      <c r="B47" s="13">
        <v>59</v>
      </c>
      <c r="C47" s="13" t="str">
        <f>VLOOKUP(D47,'Lampiran Segment'!I:R,10,0)</f>
        <v>JAWA BARAT</v>
      </c>
      <c r="D47" s="16" t="s">
        <v>254</v>
      </c>
      <c r="E47" s="13">
        <f>COUNTIFS('Lampiran Site'!R:R,'Summary Ring'!D47)</f>
        <v>1</v>
      </c>
      <c r="F47" s="13" t="s">
        <v>13</v>
      </c>
      <c r="G47" s="25">
        <f>SUMIFS('Lampiran Segment'!K:K,'Lampiran Segment'!I:I,'Summary Ring'!D47)</f>
        <v>1415</v>
      </c>
      <c r="H47" s="26">
        <f t="shared" si="0"/>
        <v>1415</v>
      </c>
    </row>
    <row r="48" spans="2:8" s="19" customFormat="1" ht="9.9499999999999993" customHeight="1">
      <c r="B48" s="13">
        <v>60</v>
      </c>
      <c r="C48" s="13" t="str">
        <f>VLOOKUP(D48,'Lampiran Segment'!I:R,10,0)</f>
        <v>JAWA BARAT</v>
      </c>
      <c r="D48" s="16" t="s">
        <v>261</v>
      </c>
      <c r="E48" s="13">
        <f>COUNTIFS('Lampiran Site'!R:R,'Summary Ring'!D48)</f>
        <v>1</v>
      </c>
      <c r="F48" s="13" t="s">
        <v>13</v>
      </c>
      <c r="G48" s="25">
        <f>SUMIFS('Lampiran Segment'!K:K,'Lampiran Segment'!I:I,'Summary Ring'!D48)</f>
        <v>786</v>
      </c>
      <c r="H48" s="26">
        <f t="shared" si="0"/>
        <v>786</v>
      </c>
    </row>
    <row r="49" spans="2:8" s="19" customFormat="1" ht="9.9499999999999993" customHeight="1">
      <c r="B49" s="13">
        <v>61</v>
      </c>
      <c r="C49" s="13" t="str">
        <f>VLOOKUP(D49,'Lampiran Segment'!I:R,10,0)</f>
        <v>Jawa Timur</v>
      </c>
      <c r="D49" s="16" t="s">
        <v>262</v>
      </c>
      <c r="E49" s="13">
        <f>COUNTIFS('Lampiran Site'!R:R,'Summary Ring'!D49)</f>
        <v>1</v>
      </c>
      <c r="F49" s="13" t="s">
        <v>13</v>
      </c>
      <c r="G49" s="25">
        <f>SUMIFS('Lampiran Segment'!K:K,'Lampiran Segment'!I:I,'Summary Ring'!D49)</f>
        <v>257</v>
      </c>
      <c r="H49" s="26">
        <f t="shared" si="0"/>
        <v>257</v>
      </c>
    </row>
    <row r="50" spans="2:8" s="19" customFormat="1" ht="9.9499999999999993" customHeight="1">
      <c r="B50" s="13">
        <v>62</v>
      </c>
      <c r="C50" s="13" t="str">
        <f>VLOOKUP(D50,'Lampiran Segment'!I:R,10,0)</f>
        <v>Jawa Timur</v>
      </c>
      <c r="D50" s="16" t="s">
        <v>263</v>
      </c>
      <c r="E50" s="13">
        <f>COUNTIFS('Lampiran Site'!R:R,'Summary Ring'!D50)</f>
        <v>1</v>
      </c>
      <c r="F50" s="13" t="s">
        <v>13</v>
      </c>
      <c r="G50" s="25">
        <f>SUMIFS('Lampiran Segment'!K:K,'Lampiran Segment'!I:I,'Summary Ring'!D50)</f>
        <v>1676</v>
      </c>
      <c r="H50" s="26">
        <f t="shared" si="0"/>
        <v>1676</v>
      </c>
    </row>
    <row r="51" spans="2:8" s="19" customFormat="1" ht="9.9499999999999993" customHeight="1">
      <c r="B51" s="13">
        <v>63</v>
      </c>
      <c r="C51" s="13" t="str">
        <f>VLOOKUP(D51,'Lampiran Segment'!I:R,10,0)</f>
        <v>Jawa Timur</v>
      </c>
      <c r="D51" s="16" t="s">
        <v>264</v>
      </c>
      <c r="E51" s="13">
        <f>COUNTIFS('Lampiran Site'!R:R,'Summary Ring'!D51)</f>
        <v>1</v>
      </c>
      <c r="F51" s="13" t="s">
        <v>13</v>
      </c>
      <c r="G51" s="25">
        <f>SUMIFS('Lampiran Segment'!K:K,'Lampiran Segment'!I:I,'Summary Ring'!D51)</f>
        <v>1860</v>
      </c>
      <c r="H51" s="26">
        <f t="shared" si="0"/>
        <v>1860</v>
      </c>
    </row>
    <row r="52" spans="2:8" s="19" customFormat="1" ht="9.9499999999999993" customHeight="1">
      <c r="B52" s="13">
        <v>65</v>
      </c>
      <c r="C52" s="13" t="str">
        <f>VLOOKUP(D52,'Lampiran Segment'!I:R,10,0)</f>
        <v>Jawa Timur</v>
      </c>
      <c r="D52" s="16" t="s">
        <v>265</v>
      </c>
      <c r="E52" s="13">
        <f>COUNTIFS('Lampiran Site'!R:R,'Summary Ring'!D52)</f>
        <v>1</v>
      </c>
      <c r="F52" s="13" t="s">
        <v>13</v>
      </c>
      <c r="G52" s="25">
        <f>SUMIFS('Lampiran Segment'!K:K,'Lampiran Segment'!I:I,'Summary Ring'!D52)</f>
        <v>1394</v>
      </c>
      <c r="H52" s="26">
        <f t="shared" si="0"/>
        <v>1394</v>
      </c>
    </row>
    <row r="53" spans="2:8" s="19" customFormat="1" ht="9.9499999999999993" customHeight="1">
      <c r="B53" s="13">
        <v>67</v>
      </c>
      <c r="C53" s="13" t="str">
        <f>VLOOKUP(D53,'Lampiran Segment'!I:R,10,0)</f>
        <v>Jawa Timur</v>
      </c>
      <c r="D53" s="16" t="s">
        <v>267</v>
      </c>
      <c r="E53" s="13">
        <f>COUNTIFS('Lampiran Site'!R:R,'Summary Ring'!D53)</f>
        <v>1</v>
      </c>
      <c r="F53" s="13" t="s">
        <v>13</v>
      </c>
      <c r="G53" s="25">
        <f>SUMIFS('Lampiran Segment'!K:K,'Lampiran Segment'!I:I,'Summary Ring'!D53)</f>
        <v>564</v>
      </c>
      <c r="H53" s="26">
        <f t="shared" ref="H53:H78" si="1">G53/E53</f>
        <v>564</v>
      </c>
    </row>
    <row r="54" spans="2:8" s="19" customFormat="1" ht="9.9499999999999993" customHeight="1">
      <c r="B54" s="13">
        <v>68</v>
      </c>
      <c r="C54" s="13" t="str">
        <f>VLOOKUP(D54,'Lampiran Segment'!I:R,10,0)</f>
        <v>Jawa Timur</v>
      </c>
      <c r="D54" s="16" t="s">
        <v>271</v>
      </c>
      <c r="E54" s="13">
        <f>COUNTIFS('Lampiran Site'!R:R,'Summary Ring'!D54)</f>
        <v>1</v>
      </c>
      <c r="F54" s="13" t="s">
        <v>13</v>
      </c>
      <c r="G54" s="25">
        <f>SUMIFS('Lampiran Segment'!K:K,'Lampiran Segment'!I:I,'Summary Ring'!D54)</f>
        <v>536</v>
      </c>
      <c r="H54" s="26">
        <f t="shared" si="1"/>
        <v>536</v>
      </c>
    </row>
    <row r="55" spans="2:8" s="19" customFormat="1" ht="9.9499999999999993" customHeight="1">
      <c r="B55" s="13">
        <v>69</v>
      </c>
      <c r="C55" s="13" t="str">
        <f>VLOOKUP(D55,'Lampiran Segment'!I:R,10,0)</f>
        <v>Jawa Timur</v>
      </c>
      <c r="D55" s="16" t="s">
        <v>272</v>
      </c>
      <c r="E55" s="13">
        <f>COUNTIFS('Lampiran Site'!R:R,'Summary Ring'!D55)</f>
        <v>1</v>
      </c>
      <c r="F55" s="13" t="s">
        <v>13</v>
      </c>
      <c r="G55" s="25">
        <f>SUMIFS('Lampiran Segment'!K:K,'Lampiran Segment'!I:I,'Summary Ring'!D55)</f>
        <v>1874</v>
      </c>
      <c r="H55" s="26">
        <f t="shared" si="1"/>
        <v>1874</v>
      </c>
    </row>
    <row r="56" spans="2:8" s="19" customFormat="1" ht="9.9499999999999993" customHeight="1">
      <c r="B56" s="13">
        <v>70</v>
      </c>
      <c r="C56" s="13" t="str">
        <f>VLOOKUP(D56,'Lampiran Segment'!I:R,10,0)</f>
        <v>Jawa Timur</v>
      </c>
      <c r="D56" s="16" t="s">
        <v>274</v>
      </c>
      <c r="E56" s="13">
        <f>COUNTIFS('Lampiran Site'!R:R,'Summary Ring'!D56)</f>
        <v>1</v>
      </c>
      <c r="F56" s="13" t="s">
        <v>13</v>
      </c>
      <c r="G56" s="25">
        <f>SUMIFS('Lampiran Segment'!K:K,'Lampiran Segment'!I:I,'Summary Ring'!D56)</f>
        <v>3001</v>
      </c>
      <c r="H56" s="26">
        <f t="shared" si="1"/>
        <v>3001</v>
      </c>
    </row>
    <row r="57" spans="2:8" s="19" customFormat="1" ht="9.9499999999999993" customHeight="1">
      <c r="B57" s="13">
        <v>71</v>
      </c>
      <c r="C57" s="13" t="str">
        <f>VLOOKUP(D57,'Lampiran Segment'!I:R,10,0)</f>
        <v>Jawa Timur</v>
      </c>
      <c r="D57" s="16" t="s">
        <v>275</v>
      </c>
      <c r="E57" s="13">
        <f>COUNTIFS('Lampiran Site'!R:R,'Summary Ring'!D57)</f>
        <v>1</v>
      </c>
      <c r="F57" s="13" t="s">
        <v>13</v>
      </c>
      <c r="G57" s="25">
        <f>SUMIFS('Lampiran Segment'!K:K,'Lampiran Segment'!I:I,'Summary Ring'!D57)</f>
        <v>1852</v>
      </c>
      <c r="H57" s="26">
        <f t="shared" si="1"/>
        <v>1852</v>
      </c>
    </row>
    <row r="58" spans="2:8" s="19" customFormat="1" ht="9.9499999999999993" customHeight="1">
      <c r="B58" s="13">
        <v>72</v>
      </c>
      <c r="C58" s="13" t="str">
        <f>VLOOKUP(D58,'Lampiran Segment'!I:R,10,0)</f>
        <v>Jawa Timur</v>
      </c>
      <c r="D58" s="16" t="s">
        <v>276</v>
      </c>
      <c r="E58" s="13">
        <f>COUNTIFS('Lampiran Site'!R:R,'Summary Ring'!D58)</f>
        <v>1</v>
      </c>
      <c r="F58" s="13" t="s">
        <v>13</v>
      </c>
      <c r="G58" s="25">
        <f>SUMIFS('Lampiran Segment'!K:K,'Lampiran Segment'!I:I,'Summary Ring'!D58)</f>
        <v>1381</v>
      </c>
      <c r="H58" s="26">
        <f t="shared" si="1"/>
        <v>1381</v>
      </c>
    </row>
    <row r="59" spans="2:8" s="19" customFormat="1" ht="9.9499999999999993" customHeight="1">
      <c r="B59" s="13">
        <v>73</v>
      </c>
      <c r="C59" s="13" t="str">
        <f>VLOOKUP(D59,'Lampiran Segment'!I:R,10,0)</f>
        <v>Jawa Timur</v>
      </c>
      <c r="D59" s="16" t="s">
        <v>280</v>
      </c>
      <c r="E59" s="13">
        <f>COUNTIFS('Lampiran Site'!R:R,'Summary Ring'!D59)</f>
        <v>1</v>
      </c>
      <c r="F59" s="13" t="s">
        <v>13</v>
      </c>
      <c r="G59" s="25">
        <f>SUMIFS('Lampiran Segment'!K:K,'Lampiran Segment'!I:I,'Summary Ring'!D59)</f>
        <v>2401</v>
      </c>
      <c r="H59" s="26">
        <f t="shared" si="1"/>
        <v>2401</v>
      </c>
    </row>
    <row r="60" spans="2:8" s="19" customFormat="1" ht="9.9499999999999993" customHeight="1">
      <c r="B60" s="13">
        <v>74</v>
      </c>
      <c r="C60" s="13" t="str">
        <f>VLOOKUP(D60,'Lampiran Segment'!I:R,10,0)</f>
        <v>Jawa Timur</v>
      </c>
      <c r="D60" s="16" t="s">
        <v>282</v>
      </c>
      <c r="E60" s="13">
        <f>COUNTIFS('Lampiran Site'!R:R,'Summary Ring'!D60)</f>
        <v>1</v>
      </c>
      <c r="F60" s="13" t="s">
        <v>13</v>
      </c>
      <c r="G60" s="25">
        <f>SUMIFS('Lampiran Segment'!K:K,'Lampiran Segment'!I:I,'Summary Ring'!D60)</f>
        <v>1774</v>
      </c>
      <c r="H60" s="26">
        <f t="shared" si="1"/>
        <v>1774</v>
      </c>
    </row>
    <row r="61" spans="2:8" s="19" customFormat="1" ht="9.9499999999999993" customHeight="1">
      <c r="B61" s="13">
        <v>75</v>
      </c>
      <c r="C61" s="13" t="str">
        <f>VLOOKUP(D61,'Lampiran Segment'!I:R,10,0)</f>
        <v>Jawa Timur</v>
      </c>
      <c r="D61" s="16" t="s">
        <v>283</v>
      </c>
      <c r="E61" s="13">
        <f>COUNTIFS('Lampiran Site'!R:R,'Summary Ring'!D61)</f>
        <v>1</v>
      </c>
      <c r="F61" s="13" t="s">
        <v>13</v>
      </c>
      <c r="G61" s="25">
        <f>SUMIFS('Lampiran Segment'!K:K,'Lampiran Segment'!I:I,'Summary Ring'!D61)</f>
        <v>1026</v>
      </c>
      <c r="H61" s="26">
        <f t="shared" si="1"/>
        <v>1026</v>
      </c>
    </row>
    <row r="62" spans="2:8" s="19" customFormat="1" ht="9.9499999999999993" customHeight="1">
      <c r="B62" s="13">
        <v>76</v>
      </c>
      <c r="C62" s="13" t="str">
        <f>VLOOKUP(D62,'Lampiran Segment'!I:R,10,0)</f>
        <v>Daerah Istimewa Yogyakarta</v>
      </c>
      <c r="D62" s="16" t="s">
        <v>284</v>
      </c>
      <c r="E62" s="13">
        <f>COUNTIFS('Lampiran Site'!R:R,'Summary Ring'!D62)</f>
        <v>1</v>
      </c>
      <c r="F62" s="13" t="s">
        <v>13</v>
      </c>
      <c r="G62" s="25">
        <f>SUMIFS('Lampiran Segment'!K:K,'Lampiran Segment'!I:I,'Summary Ring'!D62)</f>
        <v>1187</v>
      </c>
      <c r="H62" s="26">
        <f t="shared" si="1"/>
        <v>1187</v>
      </c>
    </row>
    <row r="63" spans="2:8" s="19" customFormat="1" ht="9.9499999999999993" customHeight="1">
      <c r="B63" s="13">
        <v>77</v>
      </c>
      <c r="C63" s="13" t="str">
        <f>VLOOKUP(D63,'Lampiran Segment'!I:R,10,0)</f>
        <v>Daerah Istimewa Yogyakarta</v>
      </c>
      <c r="D63" s="16" t="s">
        <v>286</v>
      </c>
      <c r="E63" s="13">
        <f>COUNTIFS('Lampiran Site'!R:R,'Summary Ring'!D63)</f>
        <v>1</v>
      </c>
      <c r="F63" s="13" t="s">
        <v>13</v>
      </c>
      <c r="G63" s="25">
        <f>SUMIFS('Lampiran Segment'!K:K,'Lampiran Segment'!I:I,'Summary Ring'!D63)</f>
        <v>101</v>
      </c>
      <c r="H63" s="26">
        <f t="shared" si="1"/>
        <v>101</v>
      </c>
    </row>
    <row r="64" spans="2:8" s="19" customFormat="1" ht="9.9499999999999993" customHeight="1">
      <c r="B64" s="13">
        <v>78</v>
      </c>
      <c r="C64" s="13" t="str">
        <f>VLOOKUP(D64,'Lampiran Segment'!I:R,10,0)</f>
        <v>Daerah Istimewa Yogyakarta</v>
      </c>
      <c r="D64" s="16" t="s">
        <v>287</v>
      </c>
      <c r="E64" s="13">
        <f>COUNTIFS('Lampiran Site'!R:R,'Summary Ring'!D64)</f>
        <v>1</v>
      </c>
      <c r="F64" s="13" t="s">
        <v>13</v>
      </c>
      <c r="G64" s="25">
        <f>SUMIFS('Lampiran Segment'!K:K,'Lampiran Segment'!I:I,'Summary Ring'!D64)</f>
        <v>2099</v>
      </c>
      <c r="H64" s="26">
        <f t="shared" si="1"/>
        <v>2099</v>
      </c>
    </row>
    <row r="65" spans="2:8" s="19" customFormat="1" ht="9.9499999999999993" customHeight="1">
      <c r="B65" s="13">
        <v>79</v>
      </c>
      <c r="C65" s="13" t="str">
        <f>VLOOKUP(D65,'Lampiran Segment'!I:R,10,0)</f>
        <v>Daerah Istimewa Yogyakarta</v>
      </c>
      <c r="D65" s="16" t="s">
        <v>288</v>
      </c>
      <c r="E65" s="13">
        <f>COUNTIFS('Lampiran Site'!R:R,'Summary Ring'!D65)</f>
        <v>1</v>
      </c>
      <c r="F65" s="13" t="s">
        <v>13</v>
      </c>
      <c r="G65" s="25">
        <f>SUMIFS('Lampiran Segment'!K:K,'Lampiran Segment'!I:I,'Summary Ring'!D65)</f>
        <v>637</v>
      </c>
      <c r="H65" s="26">
        <f t="shared" si="1"/>
        <v>637</v>
      </c>
    </row>
    <row r="66" spans="2:8" s="19" customFormat="1" ht="9.9499999999999993" customHeight="1">
      <c r="B66" s="13">
        <v>80</v>
      </c>
      <c r="C66" s="13" t="str">
        <f>VLOOKUP(D66,'Lampiran Segment'!I:R,10,0)</f>
        <v>JAWA TENGAH</v>
      </c>
      <c r="D66" s="16" t="s">
        <v>290</v>
      </c>
      <c r="E66" s="13">
        <f>COUNTIFS('Lampiran Site'!R:R,'Summary Ring'!D66)</f>
        <v>1</v>
      </c>
      <c r="F66" s="13" t="s">
        <v>13</v>
      </c>
      <c r="G66" s="25">
        <f>SUMIFS('Lampiran Segment'!K:K,'Lampiran Segment'!I:I,'Summary Ring'!D66)</f>
        <v>1762</v>
      </c>
      <c r="H66" s="26">
        <f t="shared" si="1"/>
        <v>1762</v>
      </c>
    </row>
    <row r="67" spans="2:8" s="19" customFormat="1" ht="9.9499999999999993" customHeight="1">
      <c r="B67" s="13">
        <v>81</v>
      </c>
      <c r="C67" s="13" t="str">
        <f>VLOOKUP(D67,'Lampiran Segment'!I:R,10,0)</f>
        <v>JAWA TENGAH</v>
      </c>
      <c r="D67" s="16" t="s">
        <v>291</v>
      </c>
      <c r="E67" s="13">
        <f>COUNTIFS('Lampiran Site'!R:R,'Summary Ring'!D67)</f>
        <v>1</v>
      </c>
      <c r="F67" s="13" t="s">
        <v>13</v>
      </c>
      <c r="G67" s="25">
        <f>SUMIFS('Lampiran Segment'!K:K,'Lampiran Segment'!I:I,'Summary Ring'!D67)</f>
        <v>1669</v>
      </c>
      <c r="H67" s="26">
        <f t="shared" si="1"/>
        <v>1669</v>
      </c>
    </row>
    <row r="68" spans="2:8" s="19" customFormat="1" ht="9.9499999999999993" customHeight="1">
      <c r="B68" s="13">
        <v>82</v>
      </c>
      <c r="C68" s="13" t="str">
        <f>VLOOKUP(D68,'Lampiran Segment'!I:R,10,0)</f>
        <v>JAWA TENGAH</v>
      </c>
      <c r="D68" s="16" t="s">
        <v>293</v>
      </c>
      <c r="E68" s="13">
        <f>COUNTIFS('Lampiran Site'!R:R,'Summary Ring'!D68)</f>
        <v>1</v>
      </c>
      <c r="F68" s="13" t="s">
        <v>13</v>
      </c>
      <c r="G68" s="25">
        <f>SUMIFS('Lampiran Segment'!K:K,'Lampiran Segment'!I:I,'Summary Ring'!D68)</f>
        <v>600</v>
      </c>
      <c r="H68" s="26">
        <f t="shared" si="1"/>
        <v>600</v>
      </c>
    </row>
    <row r="69" spans="2:8" s="19" customFormat="1" ht="9.9499999999999993" customHeight="1">
      <c r="B69" s="13">
        <v>83</v>
      </c>
      <c r="C69" s="13" t="str">
        <f>VLOOKUP(D69,'Lampiran Segment'!I:R,10,0)</f>
        <v>JAWA TENGAH</v>
      </c>
      <c r="D69" s="16" t="s">
        <v>294</v>
      </c>
      <c r="E69" s="13">
        <f>COUNTIFS('Lampiran Site'!R:R,'Summary Ring'!D69)</f>
        <v>1</v>
      </c>
      <c r="F69" s="13" t="s">
        <v>13</v>
      </c>
      <c r="G69" s="25">
        <f>SUMIFS('Lampiran Segment'!K:K,'Lampiran Segment'!I:I,'Summary Ring'!D69)</f>
        <v>690</v>
      </c>
      <c r="H69" s="26">
        <f t="shared" si="1"/>
        <v>690</v>
      </c>
    </row>
    <row r="70" spans="2:8" s="19" customFormat="1" ht="9.9499999999999993" customHeight="1">
      <c r="B70" s="13">
        <v>84</v>
      </c>
      <c r="C70" s="13" t="str">
        <f>VLOOKUP(D70,'Lampiran Segment'!I:R,10,0)</f>
        <v>JAWA TENGAH</v>
      </c>
      <c r="D70" s="16" t="s">
        <v>296</v>
      </c>
      <c r="E70" s="13">
        <f>COUNTIFS('Lampiran Site'!R:R,'Summary Ring'!D70)</f>
        <v>1</v>
      </c>
      <c r="F70" s="13" t="s">
        <v>13</v>
      </c>
      <c r="G70" s="25">
        <f>SUMIFS('Lampiran Segment'!K:K,'Lampiran Segment'!I:I,'Summary Ring'!D70)</f>
        <v>1418</v>
      </c>
      <c r="H70" s="26">
        <f t="shared" si="1"/>
        <v>1418</v>
      </c>
    </row>
    <row r="71" spans="2:8" s="19" customFormat="1" ht="9.9499999999999993" customHeight="1">
      <c r="B71" s="13">
        <v>85</v>
      </c>
      <c r="C71" s="13" t="str">
        <f>VLOOKUP(D71,'Lampiran Segment'!I:R,10,0)</f>
        <v>JAWA TENGAH</v>
      </c>
      <c r="D71" s="16" t="s">
        <v>297</v>
      </c>
      <c r="E71" s="13">
        <f>COUNTIFS('Lampiran Site'!R:R,'Summary Ring'!D71)</f>
        <v>1</v>
      </c>
      <c r="F71" s="13" t="s">
        <v>13</v>
      </c>
      <c r="G71" s="25">
        <f>SUMIFS('Lampiran Segment'!K:K,'Lampiran Segment'!I:I,'Summary Ring'!D71)</f>
        <v>2303</v>
      </c>
      <c r="H71" s="26">
        <f t="shared" si="1"/>
        <v>2303</v>
      </c>
    </row>
    <row r="72" spans="2:8" s="19" customFormat="1" ht="9.9499999999999993" customHeight="1">
      <c r="B72" s="13">
        <v>94</v>
      </c>
      <c r="C72" s="13" t="str">
        <f>VLOOKUP(D72,'Lampiran Segment'!I:R,10,0)</f>
        <v>DKI JAKARTA</v>
      </c>
      <c r="D72" s="16" t="s">
        <v>304</v>
      </c>
      <c r="E72" s="13">
        <f>COUNTIFS('Lampiran Site'!R:R,'Summary Ring'!D72)</f>
        <v>1</v>
      </c>
      <c r="F72" s="13" t="s">
        <v>13</v>
      </c>
      <c r="G72" s="25">
        <f>SUMIFS('Lampiran Segment'!K:K,'Lampiran Segment'!I:I,'Summary Ring'!D72)</f>
        <v>826</v>
      </c>
      <c r="H72" s="26">
        <f t="shared" si="1"/>
        <v>826</v>
      </c>
    </row>
    <row r="73" spans="2:8" s="19" customFormat="1" ht="9.9499999999999993" customHeight="1">
      <c r="B73" s="13">
        <v>95</v>
      </c>
      <c r="C73" s="13" t="str">
        <f>VLOOKUP(D73,'Lampiran Segment'!I:R,10,0)</f>
        <v>DKI JAKARTA</v>
      </c>
      <c r="D73" s="16" t="s">
        <v>305</v>
      </c>
      <c r="E73" s="13">
        <f>COUNTIFS('Lampiran Site'!R:R,'Summary Ring'!D73)</f>
        <v>1</v>
      </c>
      <c r="F73" s="13" t="s">
        <v>13</v>
      </c>
      <c r="G73" s="25">
        <f>SUMIFS('Lampiran Segment'!K:K,'Lampiran Segment'!I:I,'Summary Ring'!D73)</f>
        <v>37</v>
      </c>
      <c r="H73" s="26">
        <f t="shared" si="1"/>
        <v>37</v>
      </c>
    </row>
    <row r="74" spans="2:8" s="19" customFormat="1" ht="9.9499999999999993" customHeight="1">
      <c r="B74" s="13">
        <v>96</v>
      </c>
      <c r="C74" s="13" t="str">
        <f>VLOOKUP(D74,'Lampiran Segment'!I:R,10,0)</f>
        <v>Jawa Timur</v>
      </c>
      <c r="D74" s="18" t="s">
        <v>495</v>
      </c>
      <c r="E74" s="13">
        <f>COUNTIFS('Lampiran Site'!R:R,'Summary Ring'!D74)</f>
        <v>1</v>
      </c>
      <c r="F74" s="13" t="s">
        <v>13</v>
      </c>
      <c r="G74" s="25">
        <f>SUMIFS('Lampiran Segment'!K:K,'Lampiran Segment'!I:I,'Summary Ring'!D74)</f>
        <v>350</v>
      </c>
      <c r="H74" s="26">
        <f t="shared" si="1"/>
        <v>350</v>
      </c>
    </row>
    <row r="75" spans="2:8" s="19" customFormat="1" ht="9.9499999999999993" customHeight="1">
      <c r="B75" s="13">
        <v>97</v>
      </c>
      <c r="C75" s="13" t="str">
        <f>VLOOKUP(D75,'Lampiran Segment'!I:R,10,0)</f>
        <v>Jawa Timur</v>
      </c>
      <c r="D75" s="18" t="s">
        <v>496</v>
      </c>
      <c r="E75" s="13">
        <f>COUNTIFS('Lampiran Site'!R:R,'Summary Ring'!D75)</f>
        <v>1</v>
      </c>
      <c r="F75" s="13" t="s">
        <v>13</v>
      </c>
      <c r="G75" s="25">
        <f>SUMIFS('Lampiran Segment'!K:K,'Lampiran Segment'!I:I,'Summary Ring'!D75)</f>
        <v>1416</v>
      </c>
      <c r="H75" s="26">
        <f t="shared" si="1"/>
        <v>1416</v>
      </c>
    </row>
    <row r="76" spans="2:8" s="19" customFormat="1" ht="9.9499999999999993" customHeight="1">
      <c r="B76" s="13">
        <v>98</v>
      </c>
      <c r="C76" s="13" t="str">
        <f>VLOOKUP(D76,'Lampiran Segment'!I:R,10,0)</f>
        <v>Jawa Timur</v>
      </c>
      <c r="D76" s="18" t="s">
        <v>497</v>
      </c>
      <c r="E76" s="13">
        <f>COUNTIFS('Lampiran Site'!R:R,'Summary Ring'!D76)</f>
        <v>1</v>
      </c>
      <c r="F76" s="13" t="s">
        <v>13</v>
      </c>
      <c r="G76" s="25">
        <f>SUMIFS('Lampiran Segment'!K:K,'Lampiran Segment'!I:I,'Summary Ring'!D76)</f>
        <v>304</v>
      </c>
      <c r="H76" s="26">
        <f t="shared" si="1"/>
        <v>304</v>
      </c>
    </row>
    <row r="77" spans="2:8" s="19" customFormat="1" ht="9.9499999999999993" customHeight="1">
      <c r="B77" s="13">
        <v>99</v>
      </c>
      <c r="C77" s="13" t="str">
        <f>VLOOKUP(D77,'Lampiran Segment'!I:R,10,0)</f>
        <v>Jawa Timur</v>
      </c>
      <c r="D77" s="18" t="s">
        <v>498</v>
      </c>
      <c r="E77" s="13">
        <f>COUNTIFS('Lampiran Site'!R:R,'Summary Ring'!D77)</f>
        <v>1</v>
      </c>
      <c r="F77" s="13" t="s">
        <v>13</v>
      </c>
      <c r="G77" s="25">
        <f>SUMIFS('Lampiran Segment'!K:K,'Lampiran Segment'!I:I,'Summary Ring'!D77)</f>
        <v>913</v>
      </c>
      <c r="H77" s="26">
        <f t="shared" si="1"/>
        <v>913</v>
      </c>
    </row>
    <row r="78" spans="2:8">
      <c r="B78" s="27"/>
      <c r="C78" s="28"/>
      <c r="D78" s="28" t="s">
        <v>14</v>
      </c>
      <c r="E78" s="45">
        <f>SUM(E3:E77)</f>
        <v>77</v>
      </c>
      <c r="F78" s="29"/>
      <c r="G78" s="29">
        <f>SUM(G3:G77)</f>
        <v>87419.4</v>
      </c>
      <c r="H78" s="44">
        <f t="shared" si="1"/>
        <v>1135.316883116883</v>
      </c>
    </row>
  </sheetData>
  <autoFilter ref="B2:H78" xr:uid="{8467684B-7F1D-4FEF-B618-119612CAEE42}"/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T80"/>
  <sheetViews>
    <sheetView tabSelected="1" workbookViewId="0">
      <selection activeCell="C13" sqref="C13"/>
    </sheetView>
  </sheetViews>
  <sheetFormatPr defaultColWidth="9" defaultRowHeight="15"/>
  <cols>
    <col min="1" max="1" width="7.42578125" style="2" bestFit="1" customWidth="1"/>
    <col min="2" max="2" width="11.140625" style="2" bestFit="1" customWidth="1"/>
    <col min="3" max="3" width="31.140625" bestFit="1" customWidth="1"/>
    <col min="4" max="4" width="13.85546875" style="2" bestFit="1" customWidth="1"/>
    <col min="5" max="5" width="22.28515625" bestFit="1" customWidth="1"/>
    <col min="6" max="6" width="20.28515625" bestFit="1" customWidth="1"/>
    <col min="7" max="7" width="16" bestFit="1" customWidth="1"/>
    <col min="8" max="8" width="18.140625" bestFit="1" customWidth="1"/>
    <col min="9" max="9" width="7.5703125" bestFit="1" customWidth="1"/>
    <col min="10" max="10" width="8.7109375" bestFit="1" customWidth="1"/>
    <col min="11" max="11" width="12.7109375" style="2" bestFit="1" customWidth="1"/>
    <col min="12" max="12" width="12.5703125" style="2" bestFit="1" customWidth="1"/>
    <col min="13" max="13" width="19.5703125" style="11" bestFit="1" customWidth="1"/>
    <col min="14" max="14" width="11.28515625" style="2" bestFit="1" customWidth="1"/>
    <col min="15" max="15" width="12.5703125" style="2" bestFit="1" customWidth="1"/>
    <col min="16" max="16" width="10.28515625" style="2" bestFit="1" customWidth="1"/>
    <col min="17" max="17" width="10.7109375" style="2" bestFit="1" customWidth="1"/>
    <col min="18" max="18" width="28.5703125" bestFit="1" customWidth="1"/>
    <col min="19" max="19" width="9" style="51"/>
  </cols>
  <sheetData>
    <row r="2" spans="1:20" ht="21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20" ht="22.5">
      <c r="A3" s="12" t="s">
        <v>6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27</v>
      </c>
      <c r="N3" s="12" t="s">
        <v>28</v>
      </c>
      <c r="O3" s="12" t="s">
        <v>29</v>
      </c>
      <c r="P3" s="12" t="s">
        <v>30</v>
      </c>
      <c r="Q3" s="12" t="s">
        <v>31</v>
      </c>
      <c r="R3" s="12" t="s">
        <v>494</v>
      </c>
      <c r="S3" s="52" t="s">
        <v>520</v>
      </c>
      <c r="T3" s="50" t="s">
        <v>521</v>
      </c>
    </row>
    <row r="4" spans="1:20">
      <c r="A4" s="13">
        <v>1</v>
      </c>
      <c r="B4" s="14" t="s">
        <v>307</v>
      </c>
      <c r="C4" s="15" t="s">
        <v>361</v>
      </c>
      <c r="D4" s="34"/>
      <c r="E4" s="16" t="s">
        <v>0</v>
      </c>
      <c r="F4" s="16" t="s">
        <v>42</v>
      </c>
      <c r="G4" s="16" t="s">
        <v>43</v>
      </c>
      <c r="H4" s="16" t="s">
        <v>46</v>
      </c>
      <c r="I4" s="17">
        <v>-6.1164440000000004</v>
      </c>
      <c r="J4" s="17">
        <v>106.1515</v>
      </c>
      <c r="K4" s="13" t="s">
        <v>362</v>
      </c>
      <c r="L4" s="13" t="s">
        <v>363</v>
      </c>
      <c r="M4" s="18" t="s">
        <v>45</v>
      </c>
      <c r="N4" s="13" t="s">
        <v>35</v>
      </c>
      <c r="O4" s="13"/>
      <c r="P4" s="13">
        <v>3</v>
      </c>
      <c r="Q4" s="13" t="s">
        <v>13</v>
      </c>
      <c r="R4" s="13" t="s">
        <v>236</v>
      </c>
      <c r="S4" s="53">
        <f>VLOOKUP(B4,'Lampiran Segment'!C1:K78,9,0)</f>
        <v>1751</v>
      </c>
      <c r="T4" t="str">
        <f>VLOOKUP(B4,[1]List!$B$2:$AM$105,38,0)</f>
        <v>Go</v>
      </c>
    </row>
    <row r="5" spans="1:20">
      <c r="A5" s="13">
        <v>2</v>
      </c>
      <c r="B5" s="14" t="s">
        <v>308</v>
      </c>
      <c r="C5" s="15" t="s">
        <v>364</v>
      </c>
      <c r="D5" s="34"/>
      <c r="E5" s="16" t="s">
        <v>0</v>
      </c>
      <c r="F5" s="16" t="s">
        <v>32</v>
      </c>
      <c r="G5" s="16" t="s">
        <v>33</v>
      </c>
      <c r="H5" s="16" t="s">
        <v>364</v>
      </c>
      <c r="I5" s="17">
        <v>-6.34117</v>
      </c>
      <c r="J5" s="17">
        <v>106.3231</v>
      </c>
      <c r="K5" s="13" t="s">
        <v>36</v>
      </c>
      <c r="L5" s="13" t="s">
        <v>363</v>
      </c>
      <c r="M5" s="18" t="s">
        <v>34</v>
      </c>
      <c r="N5" s="13" t="s">
        <v>35</v>
      </c>
      <c r="O5" s="13"/>
      <c r="P5" s="13">
        <v>3</v>
      </c>
      <c r="Q5" s="13" t="s">
        <v>13</v>
      </c>
      <c r="R5" s="13" t="s">
        <v>239</v>
      </c>
      <c r="S5" s="53">
        <f>VLOOKUP(B5,'Lampiran Segment'!C2:K79,9,0)</f>
        <v>2085.6</v>
      </c>
      <c r="T5" t="str">
        <f>VLOOKUP(B5,[1]List!$B$2:$AM$105,38,0)</f>
        <v>Go</v>
      </c>
    </row>
    <row r="6" spans="1:20">
      <c r="A6" s="13">
        <v>3</v>
      </c>
      <c r="B6" s="14">
        <v>130218104</v>
      </c>
      <c r="C6" s="15" t="s">
        <v>133</v>
      </c>
      <c r="D6" s="34"/>
      <c r="E6" s="16" t="s">
        <v>0</v>
      </c>
      <c r="F6" s="16" t="s">
        <v>32</v>
      </c>
      <c r="G6" s="16" t="s">
        <v>133</v>
      </c>
      <c r="H6" s="16" t="s">
        <v>133</v>
      </c>
      <c r="I6" s="17">
        <v>-6.3422999999999998</v>
      </c>
      <c r="J6" s="17">
        <v>106.39772000000001</v>
      </c>
      <c r="K6" s="13" t="s">
        <v>36</v>
      </c>
      <c r="L6" s="13" t="s">
        <v>363</v>
      </c>
      <c r="M6" s="18" t="s">
        <v>134</v>
      </c>
      <c r="N6" s="13" t="s">
        <v>35</v>
      </c>
      <c r="O6" s="13"/>
      <c r="P6" s="13">
        <v>3</v>
      </c>
      <c r="Q6" s="13" t="s">
        <v>13</v>
      </c>
      <c r="R6" s="13" t="s">
        <v>240</v>
      </c>
      <c r="S6" s="53">
        <f>VLOOKUP(B6,'Lampiran Segment'!C3:K80,9,0)</f>
        <v>3128</v>
      </c>
      <c r="T6" t="str">
        <f>VLOOKUP(B6,[1]List!$B$2:$AM$105,38,0)</f>
        <v>Go</v>
      </c>
    </row>
    <row r="7" spans="1:20">
      <c r="A7" s="13">
        <v>4</v>
      </c>
      <c r="B7" s="14">
        <v>131098126</v>
      </c>
      <c r="C7" s="15" t="s">
        <v>365</v>
      </c>
      <c r="D7" s="34"/>
      <c r="E7" s="16" t="s">
        <v>0</v>
      </c>
      <c r="F7" s="16" t="s">
        <v>353</v>
      </c>
      <c r="G7" s="16" t="s">
        <v>366</v>
      </c>
      <c r="H7" s="16" t="s">
        <v>455</v>
      </c>
      <c r="I7" s="17">
        <v>-6.2736199999999993</v>
      </c>
      <c r="J7" s="17">
        <v>106.74471</v>
      </c>
      <c r="K7" s="13" t="s">
        <v>36</v>
      </c>
      <c r="L7" s="13" t="s">
        <v>363</v>
      </c>
      <c r="M7" s="18" t="s">
        <v>313</v>
      </c>
      <c r="N7" s="13" t="s">
        <v>35</v>
      </c>
      <c r="O7" s="13"/>
      <c r="P7" s="13">
        <v>3</v>
      </c>
      <c r="Q7" s="13" t="s">
        <v>13</v>
      </c>
      <c r="R7" s="13" t="s">
        <v>244</v>
      </c>
      <c r="S7" s="53">
        <f>VLOOKUP(B7,'Lampiran Segment'!C4:K81,9,0)</f>
        <v>374</v>
      </c>
      <c r="T7" t="str">
        <f>VLOOKUP(B7,[1]List!$B$2:$AM$105,38,0)</f>
        <v>Go</v>
      </c>
    </row>
    <row r="8" spans="1:20">
      <c r="A8" s="13">
        <v>6</v>
      </c>
      <c r="B8" s="14">
        <v>121015104</v>
      </c>
      <c r="C8" s="15" t="s">
        <v>367</v>
      </c>
      <c r="D8" s="34"/>
      <c r="E8" s="16" t="s">
        <v>2</v>
      </c>
      <c r="F8" s="16" t="s">
        <v>86</v>
      </c>
      <c r="G8" s="16" t="s">
        <v>88</v>
      </c>
      <c r="H8" s="16" t="s">
        <v>456</v>
      </c>
      <c r="I8" s="17">
        <v>-6.7186899999999996</v>
      </c>
      <c r="J8" s="17">
        <v>108.55920999999999</v>
      </c>
      <c r="K8" s="13" t="s">
        <v>36</v>
      </c>
      <c r="L8" s="13" t="s">
        <v>363</v>
      </c>
      <c r="M8" s="18" t="s">
        <v>87</v>
      </c>
      <c r="N8" s="13" t="s">
        <v>35</v>
      </c>
      <c r="O8" s="13"/>
      <c r="P8" s="13">
        <v>3</v>
      </c>
      <c r="Q8" s="13" t="s">
        <v>13</v>
      </c>
      <c r="R8" s="13" t="s">
        <v>245</v>
      </c>
      <c r="S8" s="53">
        <f>VLOOKUP(B8,'Lampiran Segment'!C6:K83,9,0)</f>
        <v>452</v>
      </c>
      <c r="T8" t="str">
        <f>VLOOKUP(B8,[1]List!$B$2:$AM$105,38,0)</f>
        <v>Go</v>
      </c>
    </row>
    <row r="9" spans="1:20">
      <c r="A9" s="13">
        <v>7</v>
      </c>
      <c r="B9" s="14">
        <v>122492110</v>
      </c>
      <c r="C9" s="15" t="s">
        <v>368</v>
      </c>
      <c r="D9" s="34"/>
      <c r="E9" s="16" t="s">
        <v>2</v>
      </c>
      <c r="F9" s="16" t="s">
        <v>136</v>
      </c>
      <c r="G9" s="16" t="s">
        <v>54</v>
      </c>
      <c r="H9" s="16" t="s">
        <v>54</v>
      </c>
      <c r="I9" s="17">
        <v>-6.4116099999999996</v>
      </c>
      <c r="J9" s="17">
        <v>107.57532999999999</v>
      </c>
      <c r="K9" s="13" t="s">
        <v>36</v>
      </c>
      <c r="L9" s="13" t="s">
        <v>363</v>
      </c>
      <c r="M9" s="18" t="s">
        <v>137</v>
      </c>
      <c r="N9" s="13" t="s">
        <v>35</v>
      </c>
      <c r="O9" s="13"/>
      <c r="P9" s="13">
        <v>3</v>
      </c>
      <c r="Q9" s="13" t="s">
        <v>13</v>
      </c>
      <c r="R9" s="13" t="s">
        <v>246</v>
      </c>
      <c r="S9" s="53">
        <f>VLOOKUP(B9,'Lampiran Segment'!C7:K84,9,0)</f>
        <v>1889</v>
      </c>
      <c r="T9" t="str">
        <f>VLOOKUP(B9,[1]List!$B$2:$AM$105,38,0)</f>
        <v>Go</v>
      </c>
    </row>
    <row r="10" spans="1:20">
      <c r="A10" s="13">
        <v>8</v>
      </c>
      <c r="B10" s="14">
        <v>120851104</v>
      </c>
      <c r="C10" s="15" t="s">
        <v>85</v>
      </c>
      <c r="D10" s="34"/>
      <c r="E10" s="16" t="s">
        <v>2</v>
      </c>
      <c r="F10" s="16" t="s">
        <v>81</v>
      </c>
      <c r="G10" s="16" t="s">
        <v>85</v>
      </c>
      <c r="H10" s="16" t="s">
        <v>135</v>
      </c>
      <c r="I10" s="17">
        <v>-7.3776700000000002</v>
      </c>
      <c r="J10" s="17">
        <v>108.5373</v>
      </c>
      <c r="K10" s="13" t="s">
        <v>36</v>
      </c>
      <c r="L10" s="13" t="s">
        <v>363</v>
      </c>
      <c r="M10" s="18" t="s">
        <v>84</v>
      </c>
      <c r="N10" s="13" t="s">
        <v>35</v>
      </c>
      <c r="O10" s="13"/>
      <c r="P10" s="13">
        <v>3</v>
      </c>
      <c r="Q10" s="13" t="s">
        <v>13</v>
      </c>
      <c r="R10" s="13" t="s">
        <v>248</v>
      </c>
      <c r="S10" s="53">
        <f>VLOOKUP(B10,'Lampiran Segment'!C8:K85,9,0)</f>
        <v>657</v>
      </c>
      <c r="T10" t="str">
        <f>VLOOKUP(B10,[1]List!$B$2:$AM$105,38,0)</f>
        <v>Go</v>
      </c>
    </row>
    <row r="11" spans="1:20">
      <c r="A11" s="13">
        <v>9</v>
      </c>
      <c r="B11" s="14">
        <v>120465109</v>
      </c>
      <c r="C11" s="15" t="s">
        <v>369</v>
      </c>
      <c r="D11" s="34"/>
      <c r="E11" s="16" t="s">
        <v>2</v>
      </c>
      <c r="F11" s="16" t="s">
        <v>62</v>
      </c>
      <c r="G11" s="16" t="s">
        <v>64</v>
      </c>
      <c r="H11" s="16" t="s">
        <v>457</v>
      </c>
      <c r="I11" s="17">
        <v>-7.2074100000000003</v>
      </c>
      <c r="J11" s="17">
        <v>107.90976999999999</v>
      </c>
      <c r="K11" s="13" t="s">
        <v>36</v>
      </c>
      <c r="L11" s="13" t="s">
        <v>363</v>
      </c>
      <c r="M11" s="18" t="s">
        <v>63</v>
      </c>
      <c r="N11" s="13" t="s">
        <v>35</v>
      </c>
      <c r="O11" s="13"/>
      <c r="P11" s="13">
        <v>3</v>
      </c>
      <c r="Q11" s="13" t="s">
        <v>13</v>
      </c>
      <c r="R11" s="13" t="s">
        <v>250</v>
      </c>
      <c r="S11" s="53">
        <f>VLOOKUP(B11,'Lampiran Segment'!C9:K86,9,0)</f>
        <v>1312</v>
      </c>
      <c r="T11" t="str">
        <f>VLOOKUP(B11,[1]List!$B$2:$AM$105,38,0)</f>
        <v>Go</v>
      </c>
    </row>
    <row r="12" spans="1:20">
      <c r="A12" s="13">
        <v>10</v>
      </c>
      <c r="B12" s="14">
        <v>122876109</v>
      </c>
      <c r="C12" s="15" t="s">
        <v>370</v>
      </c>
      <c r="D12" s="34"/>
      <c r="E12" s="16" t="s">
        <v>2</v>
      </c>
      <c r="F12" s="16" t="s">
        <v>62</v>
      </c>
      <c r="G12" s="16" t="s">
        <v>64</v>
      </c>
      <c r="H12" s="16" t="s">
        <v>458</v>
      </c>
      <c r="I12" s="17">
        <v>-7.2139800000000012</v>
      </c>
      <c r="J12" s="17">
        <v>107.90526</v>
      </c>
      <c r="K12" s="13" t="s">
        <v>36</v>
      </c>
      <c r="L12" s="13" t="s">
        <v>371</v>
      </c>
      <c r="M12" s="18" t="s">
        <v>63</v>
      </c>
      <c r="N12" s="13" t="s">
        <v>35</v>
      </c>
      <c r="O12" s="13"/>
      <c r="P12" s="13">
        <v>3</v>
      </c>
      <c r="Q12" s="13" t="s">
        <v>13</v>
      </c>
      <c r="R12" s="13" t="s">
        <v>251</v>
      </c>
      <c r="S12" s="53">
        <f>VLOOKUP(B12,'Lampiran Segment'!C10:K87,9,0)</f>
        <v>119</v>
      </c>
      <c r="T12" t="str">
        <f>VLOOKUP(B12,[1]List!$B$2:$AM$105,38,0)</f>
        <v>Go</v>
      </c>
    </row>
    <row r="13" spans="1:20">
      <c r="A13" s="13">
        <v>11</v>
      </c>
      <c r="B13" s="14">
        <v>121272104</v>
      </c>
      <c r="C13" s="15" t="s">
        <v>77</v>
      </c>
      <c r="D13" s="34"/>
      <c r="E13" s="16" t="s">
        <v>2</v>
      </c>
      <c r="F13" s="16" t="s">
        <v>74</v>
      </c>
      <c r="G13" s="16" t="s">
        <v>77</v>
      </c>
      <c r="H13" s="16" t="s">
        <v>459</v>
      </c>
      <c r="I13" s="17">
        <v>-6.9858099999999999</v>
      </c>
      <c r="J13" s="17">
        <v>107.83331</v>
      </c>
      <c r="K13" s="13" t="s">
        <v>36</v>
      </c>
      <c r="L13" s="13" t="s">
        <v>363</v>
      </c>
      <c r="M13" s="18" t="s">
        <v>78</v>
      </c>
      <c r="N13" s="13" t="s">
        <v>35</v>
      </c>
      <c r="O13" s="13"/>
      <c r="P13" s="13">
        <v>3</v>
      </c>
      <c r="Q13" s="13" t="s">
        <v>13</v>
      </c>
      <c r="R13" s="13" t="s">
        <v>252</v>
      </c>
      <c r="S13" s="53">
        <f>VLOOKUP(B13,'Lampiran Segment'!C11:K88,9,0)</f>
        <v>1146</v>
      </c>
      <c r="T13" t="str">
        <f>VLOOKUP(B13,[1]List!$B$2:$AM$105,38,0)</f>
        <v>Go</v>
      </c>
    </row>
    <row r="14" spans="1:20">
      <c r="A14" s="13">
        <v>12</v>
      </c>
      <c r="B14" s="14">
        <v>121327104</v>
      </c>
      <c r="C14" s="15" t="s">
        <v>372</v>
      </c>
      <c r="D14" s="34"/>
      <c r="E14" s="16" t="s">
        <v>2</v>
      </c>
      <c r="F14" s="16" t="s">
        <v>74</v>
      </c>
      <c r="G14" s="16" t="s">
        <v>75</v>
      </c>
      <c r="H14" s="16" t="s">
        <v>372</v>
      </c>
      <c r="I14" s="17">
        <v>-6.98902</v>
      </c>
      <c r="J14" s="17">
        <v>107.79942</v>
      </c>
      <c r="K14" s="13" t="s">
        <v>36</v>
      </c>
      <c r="L14" s="13" t="s">
        <v>363</v>
      </c>
      <c r="M14" s="18" t="s">
        <v>76</v>
      </c>
      <c r="N14" s="13" t="s">
        <v>35</v>
      </c>
      <c r="O14" s="13"/>
      <c r="P14" s="13">
        <v>3</v>
      </c>
      <c r="Q14" s="13" t="s">
        <v>13</v>
      </c>
      <c r="R14" s="13" t="s">
        <v>253</v>
      </c>
      <c r="S14" s="53">
        <f>VLOOKUP(B14,'Lampiran Segment'!C11:K89,9,0)</f>
        <v>1147</v>
      </c>
      <c r="T14" t="str">
        <f>VLOOKUP(B14,[1]List!$B$2:$AM$105,38,0)</f>
        <v>Go</v>
      </c>
    </row>
    <row r="15" spans="1:20">
      <c r="A15" s="13">
        <v>13</v>
      </c>
      <c r="B15" s="14">
        <v>125871101</v>
      </c>
      <c r="C15" s="15" t="s">
        <v>373</v>
      </c>
      <c r="D15" s="34"/>
      <c r="E15" s="16" t="s">
        <v>2</v>
      </c>
      <c r="F15" s="16" t="s">
        <v>74</v>
      </c>
      <c r="G15" s="16" t="s">
        <v>75</v>
      </c>
      <c r="H15" s="16" t="s">
        <v>460</v>
      </c>
      <c r="I15" s="17">
        <v>-6.9634400000000003</v>
      </c>
      <c r="J15" s="17">
        <v>107.75358</v>
      </c>
      <c r="K15" s="13" t="s">
        <v>36</v>
      </c>
      <c r="L15" s="13" t="s">
        <v>363</v>
      </c>
      <c r="M15" s="18" t="s">
        <v>315</v>
      </c>
      <c r="N15" s="13" t="s">
        <v>35</v>
      </c>
      <c r="O15" s="13"/>
      <c r="P15" s="13">
        <v>3</v>
      </c>
      <c r="Q15" s="13" t="s">
        <v>13</v>
      </c>
      <c r="R15" s="13" t="s">
        <v>255</v>
      </c>
      <c r="S15" s="53">
        <f>VLOOKUP(B15,'Lampiran Segment'!C12:K90,9,0)</f>
        <v>187</v>
      </c>
      <c r="T15" t="str">
        <f>VLOOKUP(B15,[1]List!$B$2:$AM$105,38,0)</f>
        <v>Go</v>
      </c>
    </row>
    <row r="16" spans="1:20">
      <c r="A16" s="13">
        <v>14</v>
      </c>
      <c r="B16" s="14" t="s">
        <v>316</v>
      </c>
      <c r="C16" s="15"/>
      <c r="D16" s="34"/>
      <c r="E16" s="16" t="s">
        <v>2</v>
      </c>
      <c r="F16" s="16" t="s">
        <v>72</v>
      </c>
      <c r="G16" s="16" t="s">
        <v>374</v>
      </c>
      <c r="H16" s="16" t="s">
        <v>461</v>
      </c>
      <c r="I16" s="17">
        <v>-6.940518</v>
      </c>
      <c r="J16" s="17">
        <v>107.69117799999999</v>
      </c>
      <c r="K16" s="13" t="s">
        <v>362</v>
      </c>
      <c r="L16" s="13" t="s">
        <v>371</v>
      </c>
      <c r="M16" s="18" t="s">
        <v>73</v>
      </c>
      <c r="N16" s="13" t="s">
        <v>35</v>
      </c>
      <c r="O16" s="13"/>
      <c r="P16" s="13">
        <v>3</v>
      </c>
      <c r="Q16" s="13" t="s">
        <v>13</v>
      </c>
      <c r="R16" s="13" t="s">
        <v>256</v>
      </c>
      <c r="S16" s="53">
        <f>VLOOKUP(B16,'Lampiran Segment'!C12:K91,9,0)</f>
        <v>205</v>
      </c>
      <c r="T16" t="str">
        <f>VLOOKUP(B16,[1]List!$B$2:$AM$105,38,0)</f>
        <v>Go</v>
      </c>
    </row>
    <row r="17" spans="1:20">
      <c r="A17" s="13">
        <v>15</v>
      </c>
      <c r="B17" s="14">
        <v>122376109</v>
      </c>
      <c r="C17" s="15" t="s">
        <v>375</v>
      </c>
      <c r="D17" s="34"/>
      <c r="E17" s="16" t="s">
        <v>2</v>
      </c>
      <c r="F17" s="16" t="s">
        <v>65</v>
      </c>
      <c r="G17" s="16" t="s">
        <v>66</v>
      </c>
      <c r="H17" s="16" t="s">
        <v>71</v>
      </c>
      <c r="I17" s="17">
        <v>-6.8396899999999983</v>
      </c>
      <c r="J17" s="17">
        <v>107.49697999999999</v>
      </c>
      <c r="K17" s="13" t="s">
        <v>36</v>
      </c>
      <c r="L17" s="13" t="s">
        <v>363</v>
      </c>
      <c r="M17" s="18" t="s">
        <v>67</v>
      </c>
      <c r="N17" s="13" t="s">
        <v>35</v>
      </c>
      <c r="O17" s="13"/>
      <c r="P17" s="13">
        <v>3</v>
      </c>
      <c r="Q17" s="13" t="s">
        <v>13</v>
      </c>
      <c r="R17" s="13" t="s">
        <v>257</v>
      </c>
      <c r="S17" s="53">
        <f>VLOOKUP(B17,'Lampiran Segment'!C13:K92,9,0)</f>
        <v>815</v>
      </c>
      <c r="T17" t="str">
        <f>VLOOKUP(B17,[1]List!$B$2:$AM$105,38,0)</f>
        <v>Go</v>
      </c>
    </row>
    <row r="18" spans="1:20">
      <c r="A18" s="13">
        <v>16</v>
      </c>
      <c r="B18" s="14" t="s">
        <v>317</v>
      </c>
      <c r="C18" s="15" t="s">
        <v>376</v>
      </c>
      <c r="D18" s="34"/>
      <c r="E18" s="16" t="s">
        <v>2</v>
      </c>
      <c r="F18" s="16" t="s">
        <v>68</v>
      </c>
      <c r="G18" s="16" t="s">
        <v>69</v>
      </c>
      <c r="H18" s="16" t="s">
        <v>462</v>
      </c>
      <c r="I18" s="17">
        <v>-6.5440829999999997</v>
      </c>
      <c r="J18" s="17">
        <v>107.436222</v>
      </c>
      <c r="K18" s="13" t="s">
        <v>362</v>
      </c>
      <c r="L18" s="13" t="s">
        <v>363</v>
      </c>
      <c r="M18" s="18" t="s">
        <v>70</v>
      </c>
      <c r="N18" s="13" t="s">
        <v>35</v>
      </c>
      <c r="O18" s="13"/>
      <c r="P18" s="13">
        <v>3</v>
      </c>
      <c r="Q18" s="13" t="s">
        <v>13</v>
      </c>
      <c r="R18" s="13" t="s">
        <v>258</v>
      </c>
      <c r="S18" s="53">
        <f>VLOOKUP(B18,'Lampiran Segment'!C14:K93,9,0)</f>
        <v>1934</v>
      </c>
      <c r="T18" t="str">
        <f>VLOOKUP(B18,[1]List!$B$2:$AM$105,38,0)</f>
        <v>Go</v>
      </c>
    </row>
    <row r="19" spans="1:20">
      <c r="A19" s="13">
        <v>21</v>
      </c>
      <c r="B19" s="14">
        <v>125966123</v>
      </c>
      <c r="C19" s="15" t="s">
        <v>377</v>
      </c>
      <c r="D19" s="34"/>
      <c r="E19" s="16" t="s">
        <v>2</v>
      </c>
      <c r="F19" s="16" t="s">
        <v>51</v>
      </c>
      <c r="G19" s="16" t="s">
        <v>55</v>
      </c>
      <c r="H19" s="16" t="s">
        <v>56</v>
      </c>
      <c r="I19" s="17">
        <v>-6.5219500000000004</v>
      </c>
      <c r="J19" s="17">
        <v>106.79885</v>
      </c>
      <c r="K19" s="13" t="s">
        <v>36</v>
      </c>
      <c r="L19" s="13" t="s">
        <v>363</v>
      </c>
      <c r="M19" s="18" t="s">
        <v>57</v>
      </c>
      <c r="N19" s="13" t="s">
        <v>35</v>
      </c>
      <c r="O19" s="13"/>
      <c r="P19" s="13">
        <v>3</v>
      </c>
      <c r="Q19" s="13" t="s">
        <v>13</v>
      </c>
      <c r="R19" s="13" t="s">
        <v>260</v>
      </c>
      <c r="S19" s="53">
        <f>VLOOKUP(B19,'Lampiran Segment'!C18:K97,9,0)</f>
        <v>963</v>
      </c>
      <c r="T19" t="str">
        <f>VLOOKUP(B19,[1]List!$B$2:$AM$105,38,0)</f>
        <v>Go</v>
      </c>
    </row>
    <row r="20" spans="1:20">
      <c r="A20" s="13">
        <v>23</v>
      </c>
      <c r="B20" s="14">
        <v>1647052007</v>
      </c>
      <c r="C20" s="15" t="s">
        <v>378</v>
      </c>
      <c r="D20" s="34"/>
      <c r="E20" s="16" t="s">
        <v>4</v>
      </c>
      <c r="F20" s="16" t="s">
        <v>101</v>
      </c>
      <c r="G20" s="16" t="s">
        <v>142</v>
      </c>
      <c r="H20" s="16" t="s">
        <v>143</v>
      </c>
      <c r="I20" s="17">
        <v>-7.3676299999999957</v>
      </c>
      <c r="J20" s="17">
        <v>112.73314999999999</v>
      </c>
      <c r="K20" s="13" t="s">
        <v>36</v>
      </c>
      <c r="L20" s="13" t="s">
        <v>363</v>
      </c>
      <c r="M20" s="18" t="s">
        <v>323</v>
      </c>
      <c r="N20" s="13" t="s">
        <v>35</v>
      </c>
      <c r="O20" s="13"/>
      <c r="P20" s="13">
        <v>3</v>
      </c>
      <c r="Q20" s="13" t="s">
        <v>13</v>
      </c>
      <c r="R20" s="13" t="s">
        <v>266</v>
      </c>
      <c r="S20" s="53">
        <f>VLOOKUP(B20,'Lampiran Segment'!C20:K99,9,0)</f>
        <v>606</v>
      </c>
      <c r="T20" t="str">
        <f>VLOOKUP(B20,[1]List!$B$2:$AM$105,38,0)</f>
        <v>Go</v>
      </c>
    </row>
    <row r="21" spans="1:20">
      <c r="A21" s="13">
        <v>24</v>
      </c>
      <c r="B21" s="14">
        <v>161420110</v>
      </c>
      <c r="C21" s="15" t="s">
        <v>379</v>
      </c>
      <c r="D21" s="34"/>
      <c r="E21" s="16" t="s">
        <v>4</v>
      </c>
      <c r="F21" s="16" t="s">
        <v>101</v>
      </c>
      <c r="G21" s="16" t="s">
        <v>118</v>
      </c>
      <c r="H21" s="16" t="s">
        <v>463</v>
      </c>
      <c r="I21" s="17">
        <v>-7.4321300000000008</v>
      </c>
      <c r="J21" s="17">
        <v>112.72768000000001</v>
      </c>
      <c r="K21" s="13" t="s">
        <v>36</v>
      </c>
      <c r="L21" s="13" t="s">
        <v>363</v>
      </c>
      <c r="M21" s="18" t="s">
        <v>324</v>
      </c>
      <c r="N21" s="13" t="s">
        <v>35</v>
      </c>
      <c r="O21" s="13"/>
      <c r="P21" s="13">
        <v>3</v>
      </c>
      <c r="Q21" s="13" t="s">
        <v>13</v>
      </c>
      <c r="R21" s="13" t="s">
        <v>268</v>
      </c>
      <c r="S21" s="53">
        <f>VLOOKUP(B21,'Lampiran Segment'!C21:K100,9,0)</f>
        <v>1201</v>
      </c>
      <c r="T21" t="str">
        <f>VLOOKUP(B21,[1]List!$B$2:$AM$105,38,0)</f>
        <v>Go</v>
      </c>
    </row>
    <row r="22" spans="1:20">
      <c r="A22" s="13">
        <v>25</v>
      </c>
      <c r="B22" s="14">
        <v>1649262007</v>
      </c>
      <c r="C22" s="15" t="s">
        <v>380</v>
      </c>
      <c r="D22" s="34"/>
      <c r="E22" s="16" t="s">
        <v>4</v>
      </c>
      <c r="F22" s="16" t="s">
        <v>101</v>
      </c>
      <c r="G22" s="16" t="s">
        <v>126</v>
      </c>
      <c r="H22" s="16" t="s">
        <v>464</v>
      </c>
      <c r="I22" s="17">
        <v>-7.449110000000001</v>
      </c>
      <c r="J22" s="17">
        <v>112.71008999999999</v>
      </c>
      <c r="K22" s="13" t="s">
        <v>36</v>
      </c>
      <c r="L22" s="13" t="s">
        <v>371</v>
      </c>
      <c r="M22" s="18" t="s">
        <v>125</v>
      </c>
      <c r="N22" s="13" t="s">
        <v>35</v>
      </c>
      <c r="O22" s="13"/>
      <c r="P22" s="13">
        <v>3</v>
      </c>
      <c r="Q22" s="13" t="s">
        <v>13</v>
      </c>
      <c r="R22" s="13" t="s">
        <v>269</v>
      </c>
      <c r="S22" s="53">
        <f>VLOOKUP(B22,'Lampiran Segment'!C22:K101,9,0)</f>
        <v>1226</v>
      </c>
      <c r="T22" t="str">
        <f>VLOOKUP(B22,[1]List!$B$2:$AM$105,38,0)</f>
        <v>Go</v>
      </c>
    </row>
    <row r="23" spans="1:20">
      <c r="A23" s="13">
        <v>26</v>
      </c>
      <c r="B23" s="14">
        <v>1647062007</v>
      </c>
      <c r="C23" s="15" t="s">
        <v>381</v>
      </c>
      <c r="D23" s="34"/>
      <c r="E23" s="16" t="s">
        <v>4</v>
      </c>
      <c r="F23" s="16" t="s">
        <v>101</v>
      </c>
      <c r="G23" s="16" t="s">
        <v>142</v>
      </c>
      <c r="H23" s="16" t="s">
        <v>142</v>
      </c>
      <c r="I23" s="17">
        <v>-7.3874499999999976</v>
      </c>
      <c r="J23" s="17">
        <v>112.72716</v>
      </c>
      <c r="K23" s="13" t="s">
        <v>36</v>
      </c>
      <c r="L23" s="13" t="s">
        <v>371</v>
      </c>
      <c r="M23" s="18" t="s">
        <v>325</v>
      </c>
      <c r="N23" s="13" t="s">
        <v>35</v>
      </c>
      <c r="O23" s="13"/>
      <c r="P23" s="13">
        <v>3</v>
      </c>
      <c r="Q23" s="13" t="s">
        <v>13</v>
      </c>
      <c r="R23" s="13" t="s">
        <v>270</v>
      </c>
      <c r="S23" s="53">
        <f>VLOOKUP(B23,'Lampiran Segment'!C23:K102,9,0)</f>
        <v>520</v>
      </c>
      <c r="T23" t="str">
        <f>VLOOKUP(B23,[1]List!$B$2:$AM$105,38,0)</f>
        <v>Go</v>
      </c>
    </row>
    <row r="24" spans="1:20">
      <c r="A24" s="13">
        <v>27</v>
      </c>
      <c r="B24" s="14">
        <v>163317126</v>
      </c>
      <c r="C24" s="15" t="s">
        <v>382</v>
      </c>
      <c r="D24" s="34"/>
      <c r="E24" s="16" t="s">
        <v>4</v>
      </c>
      <c r="F24" s="16" t="s">
        <v>102</v>
      </c>
      <c r="G24" s="16" t="s">
        <v>39</v>
      </c>
      <c r="H24" s="16" t="s">
        <v>103</v>
      </c>
      <c r="I24" s="17">
        <v>-7.55253</v>
      </c>
      <c r="J24" s="17">
        <v>112.23177</v>
      </c>
      <c r="K24" s="13" t="s">
        <v>36</v>
      </c>
      <c r="L24" s="13" t="s">
        <v>363</v>
      </c>
      <c r="M24" s="18" t="s">
        <v>104</v>
      </c>
      <c r="N24" s="13" t="s">
        <v>35</v>
      </c>
      <c r="O24" s="13"/>
      <c r="P24" s="13">
        <v>3</v>
      </c>
      <c r="Q24" s="13" t="s">
        <v>13</v>
      </c>
      <c r="R24" s="13" t="s">
        <v>273</v>
      </c>
      <c r="S24" s="53">
        <f>VLOOKUP(B24,'Lampiran Segment'!C24:K103,9,0)</f>
        <v>1891</v>
      </c>
      <c r="T24" t="str">
        <f>VLOOKUP(B24,[1]List!$B$2:$AM$105,38,0)</f>
        <v>Go</v>
      </c>
    </row>
    <row r="25" spans="1:20">
      <c r="A25" s="13">
        <v>28</v>
      </c>
      <c r="B25" s="14">
        <v>161395110</v>
      </c>
      <c r="C25" s="15" t="s">
        <v>383</v>
      </c>
      <c r="D25" s="34"/>
      <c r="E25" s="16" t="s">
        <v>4</v>
      </c>
      <c r="F25" s="16" t="s">
        <v>111</v>
      </c>
      <c r="G25" s="16" t="s">
        <v>130</v>
      </c>
      <c r="H25" s="16" t="s">
        <v>465</v>
      </c>
      <c r="I25" s="17">
        <v>-7.9955600000000011</v>
      </c>
      <c r="J25" s="17">
        <v>112.62598</v>
      </c>
      <c r="K25" s="13" t="s">
        <v>36</v>
      </c>
      <c r="L25" s="13" t="s">
        <v>371</v>
      </c>
      <c r="M25" s="18" t="s">
        <v>116</v>
      </c>
      <c r="N25" s="13" t="s">
        <v>35</v>
      </c>
      <c r="O25" s="13"/>
      <c r="P25" s="13">
        <v>3</v>
      </c>
      <c r="Q25" s="13" t="s">
        <v>13</v>
      </c>
      <c r="R25" s="13" t="s">
        <v>277</v>
      </c>
      <c r="S25" s="53">
        <f>VLOOKUP(B25,'Lampiran Segment'!C25:K104,9,0)</f>
        <v>1721</v>
      </c>
      <c r="T25" t="str">
        <f>VLOOKUP(B25,[1]List!$B$2:$AM$105,38,0)</f>
        <v>Go</v>
      </c>
    </row>
    <row r="26" spans="1:20">
      <c r="A26" s="13">
        <v>29</v>
      </c>
      <c r="B26" s="14">
        <v>1650662001</v>
      </c>
      <c r="C26" s="15" t="s">
        <v>384</v>
      </c>
      <c r="D26" s="34"/>
      <c r="E26" s="16" t="s">
        <v>4</v>
      </c>
      <c r="F26" s="16" t="s">
        <v>111</v>
      </c>
      <c r="G26" s="16" t="s">
        <v>94</v>
      </c>
      <c r="H26" s="16" t="s">
        <v>94</v>
      </c>
      <c r="I26" s="17">
        <v>-7.9462400000000004</v>
      </c>
      <c r="J26" s="17">
        <v>112.64762</v>
      </c>
      <c r="K26" s="13" t="s">
        <v>36</v>
      </c>
      <c r="L26" s="13" t="s">
        <v>363</v>
      </c>
      <c r="M26" s="18" t="s">
        <v>112</v>
      </c>
      <c r="N26" s="13" t="s">
        <v>35</v>
      </c>
      <c r="O26" s="13"/>
      <c r="P26" s="13">
        <v>3</v>
      </c>
      <c r="Q26" s="13" t="s">
        <v>13</v>
      </c>
      <c r="R26" s="13" t="s">
        <v>278</v>
      </c>
      <c r="S26" s="53">
        <f>VLOOKUP(B26,'Lampiran Segment'!C26:K105,9,0)</f>
        <v>997</v>
      </c>
      <c r="T26" t="str">
        <f>VLOOKUP(B26,[1]List!$B$2:$AM$105,38,0)</f>
        <v>Go</v>
      </c>
    </row>
    <row r="27" spans="1:20">
      <c r="A27" s="13">
        <v>30</v>
      </c>
      <c r="B27" s="14">
        <v>163870110</v>
      </c>
      <c r="C27" s="15" t="s">
        <v>385</v>
      </c>
      <c r="D27" s="34"/>
      <c r="E27" s="16" t="s">
        <v>4</v>
      </c>
      <c r="F27" s="16" t="s">
        <v>113</v>
      </c>
      <c r="G27" s="16" t="s">
        <v>114</v>
      </c>
      <c r="H27" s="16" t="s">
        <v>466</v>
      </c>
      <c r="I27" s="17">
        <v>-7.9042000000000012</v>
      </c>
      <c r="J27" s="17">
        <v>112.65996</v>
      </c>
      <c r="K27" s="13" t="s">
        <v>36</v>
      </c>
      <c r="L27" s="13" t="s">
        <v>363</v>
      </c>
      <c r="M27" s="18" t="s">
        <v>115</v>
      </c>
      <c r="N27" s="13" t="s">
        <v>35</v>
      </c>
      <c r="O27" s="13"/>
      <c r="P27" s="13">
        <v>3</v>
      </c>
      <c r="Q27" s="13" t="s">
        <v>13</v>
      </c>
      <c r="R27" s="13" t="s">
        <v>279</v>
      </c>
      <c r="S27" s="53">
        <f>VLOOKUP(B27,'Lampiran Segment'!C27:K106,9,0)</f>
        <v>1332</v>
      </c>
      <c r="T27" t="str">
        <f>VLOOKUP(B27,[1]List!$B$2:$AM$105,38,0)</f>
        <v>Go</v>
      </c>
    </row>
    <row r="28" spans="1:20">
      <c r="A28" s="13">
        <v>31</v>
      </c>
      <c r="B28" s="14">
        <v>1654591001</v>
      </c>
      <c r="C28" s="15" t="s">
        <v>386</v>
      </c>
      <c r="D28" s="34"/>
      <c r="E28" s="16" t="s">
        <v>4</v>
      </c>
      <c r="F28" s="16" t="s">
        <v>105</v>
      </c>
      <c r="G28" s="16" t="s">
        <v>106</v>
      </c>
      <c r="H28" s="16" t="s">
        <v>106</v>
      </c>
      <c r="I28" s="17">
        <v>-8.1811199999999999</v>
      </c>
      <c r="J28" s="17">
        <v>113.67416</v>
      </c>
      <c r="K28" s="13" t="s">
        <v>36</v>
      </c>
      <c r="L28" s="13" t="s">
        <v>363</v>
      </c>
      <c r="M28" s="18" t="s">
        <v>330</v>
      </c>
      <c r="N28" s="13" t="s">
        <v>35</v>
      </c>
      <c r="O28" s="13"/>
      <c r="P28" s="13">
        <v>3</v>
      </c>
      <c r="Q28" s="13" t="s">
        <v>13</v>
      </c>
      <c r="R28" s="13" t="s">
        <v>281</v>
      </c>
      <c r="S28" s="53">
        <f>VLOOKUP(B28,'Lampiran Segment'!C28:K107,9,0)</f>
        <v>895</v>
      </c>
      <c r="T28" t="str">
        <f>VLOOKUP(B28,[1]List!$B$2:$AM$105,38,0)</f>
        <v>Go</v>
      </c>
    </row>
    <row r="29" spans="1:20">
      <c r="A29" s="13">
        <v>32</v>
      </c>
      <c r="B29" s="14">
        <v>1510341001</v>
      </c>
      <c r="C29" s="15" t="s">
        <v>387</v>
      </c>
      <c r="D29" s="34"/>
      <c r="E29" s="16" t="s">
        <v>1</v>
      </c>
      <c r="F29" s="16" t="s">
        <v>354</v>
      </c>
      <c r="G29" s="16" t="s">
        <v>388</v>
      </c>
      <c r="H29" s="16" t="s">
        <v>467</v>
      </c>
      <c r="I29" s="17">
        <v>-7.7818899999999998</v>
      </c>
      <c r="J29" s="17">
        <v>110.37645999999999</v>
      </c>
      <c r="K29" s="13" t="s">
        <v>36</v>
      </c>
      <c r="L29" s="13" t="s">
        <v>363</v>
      </c>
      <c r="M29" s="18" t="s">
        <v>332</v>
      </c>
      <c r="N29" s="13" t="s">
        <v>35</v>
      </c>
      <c r="O29" s="13"/>
      <c r="P29" s="13">
        <v>3</v>
      </c>
      <c r="Q29" s="13" t="s">
        <v>13</v>
      </c>
      <c r="R29" s="13" t="s">
        <v>285</v>
      </c>
      <c r="S29" s="53">
        <f>VLOOKUP(B29,'Lampiran Segment'!C28:K108,9,0)</f>
        <v>1439</v>
      </c>
      <c r="T29" t="str">
        <f>VLOOKUP(B29,[1]List!$B$2:$AM$105,38,0)</f>
        <v>Go</v>
      </c>
    </row>
    <row r="30" spans="1:20">
      <c r="A30" s="13">
        <v>35</v>
      </c>
      <c r="B30" s="34">
        <v>1472761003</v>
      </c>
      <c r="C30" s="49" t="s">
        <v>519</v>
      </c>
      <c r="D30" s="34"/>
      <c r="E30" s="16" t="s">
        <v>3</v>
      </c>
      <c r="F30" s="16" t="s">
        <v>98</v>
      </c>
      <c r="G30" s="16" t="s">
        <v>100</v>
      </c>
      <c r="H30" s="16" t="s">
        <v>468</v>
      </c>
      <c r="I30" s="48">
        <v>-6.87005</v>
      </c>
      <c r="J30" s="48">
        <v>109.12783</v>
      </c>
      <c r="K30" s="13" t="s">
        <v>36</v>
      </c>
      <c r="L30" s="13" t="s">
        <v>38</v>
      </c>
      <c r="M30" s="18" t="s">
        <v>99</v>
      </c>
      <c r="N30" s="13" t="s">
        <v>35</v>
      </c>
      <c r="O30" s="13"/>
      <c r="P30" s="13">
        <v>3</v>
      </c>
      <c r="Q30" s="13" t="s">
        <v>13</v>
      </c>
      <c r="R30" s="13" t="s">
        <v>289</v>
      </c>
      <c r="S30" s="53">
        <f>VLOOKUP(B30,'Lampiran Segment'!C29:K111,9,0)</f>
        <v>2194.7999999999997</v>
      </c>
      <c r="T30" t="str">
        <f>VLOOKUP(B30,[1]List!$AO$2:$BD$105,16,0)</f>
        <v>Go</v>
      </c>
    </row>
    <row r="31" spans="1:20">
      <c r="A31" s="13">
        <v>36</v>
      </c>
      <c r="B31" s="14">
        <v>1440632003</v>
      </c>
      <c r="C31" s="15" t="s">
        <v>389</v>
      </c>
      <c r="D31" s="34"/>
      <c r="E31" s="16" t="s">
        <v>3</v>
      </c>
      <c r="F31" s="16" t="s">
        <v>355</v>
      </c>
      <c r="G31" s="16" t="s">
        <v>129</v>
      </c>
      <c r="H31" s="16" t="s">
        <v>469</v>
      </c>
      <c r="I31" s="17">
        <v>-6.9837999999999996</v>
      </c>
      <c r="J31" s="17">
        <v>110.35695</v>
      </c>
      <c r="K31" s="13" t="s">
        <v>36</v>
      </c>
      <c r="L31" s="13" t="s">
        <v>363</v>
      </c>
      <c r="M31" s="18" t="s">
        <v>336</v>
      </c>
      <c r="N31" s="13" t="s">
        <v>35</v>
      </c>
      <c r="O31" s="13"/>
      <c r="P31" s="13">
        <v>3</v>
      </c>
      <c r="Q31" s="13" t="s">
        <v>13</v>
      </c>
      <c r="R31" s="13" t="s">
        <v>292</v>
      </c>
      <c r="S31" s="53">
        <f>VLOOKUP(B31,'Lampiran Segment'!C30:K112,9,0)</f>
        <v>1869</v>
      </c>
      <c r="T31" t="str">
        <f>VLOOKUP(B31,[1]List!$B$2:$AM$105,38,0)</f>
        <v>Go</v>
      </c>
    </row>
    <row r="32" spans="1:20">
      <c r="A32" s="13">
        <v>38</v>
      </c>
      <c r="B32" s="14" t="s">
        <v>338</v>
      </c>
      <c r="C32" s="15" t="s">
        <v>390</v>
      </c>
      <c r="D32" s="34"/>
      <c r="E32" s="16" t="s">
        <v>3</v>
      </c>
      <c r="F32" s="16" t="s">
        <v>355</v>
      </c>
      <c r="G32" s="16" t="s">
        <v>391</v>
      </c>
      <c r="H32" s="16" t="s">
        <v>470</v>
      </c>
      <c r="I32" s="17">
        <v>-6.964979999999998</v>
      </c>
      <c r="J32" s="17">
        <v>110.42412</v>
      </c>
      <c r="K32" s="13" t="s">
        <v>36</v>
      </c>
      <c r="L32" s="13" t="s">
        <v>363</v>
      </c>
      <c r="M32" s="18" t="s">
        <v>337</v>
      </c>
      <c r="N32" s="13" t="s">
        <v>35</v>
      </c>
      <c r="O32" s="13"/>
      <c r="P32" s="13">
        <v>3</v>
      </c>
      <c r="Q32" s="13" t="s">
        <v>13</v>
      </c>
      <c r="R32" s="13" t="s">
        <v>295</v>
      </c>
      <c r="S32" s="53">
        <f>VLOOKUP(B32,'Lampiran Segment'!C31:K114,9,0)</f>
        <v>317</v>
      </c>
      <c r="T32" t="str">
        <f>VLOOKUP(B32,[1]List!$B$2:$AM$105,38,0)</f>
        <v>Go</v>
      </c>
    </row>
    <row r="33" spans="1:20">
      <c r="A33" s="13">
        <v>39</v>
      </c>
      <c r="B33" s="14">
        <v>111172121</v>
      </c>
      <c r="C33" s="15" t="s">
        <v>392</v>
      </c>
      <c r="D33" s="34"/>
      <c r="E33" s="16" t="s">
        <v>351</v>
      </c>
      <c r="F33" s="16" t="s">
        <v>357</v>
      </c>
      <c r="G33" s="16" t="s">
        <v>393</v>
      </c>
      <c r="H33" s="16" t="s">
        <v>471</v>
      </c>
      <c r="I33" s="17">
        <v>-6.1403699999999999</v>
      </c>
      <c r="J33" s="17">
        <v>106.82288</v>
      </c>
      <c r="K33" s="13" t="s">
        <v>36</v>
      </c>
      <c r="L33" s="13" t="s">
        <v>363</v>
      </c>
      <c r="M33" s="18" t="s">
        <v>339</v>
      </c>
      <c r="N33" s="13" t="s">
        <v>35</v>
      </c>
      <c r="O33" s="13"/>
      <c r="P33" s="13">
        <v>3</v>
      </c>
      <c r="Q33" s="13" t="s">
        <v>13</v>
      </c>
      <c r="R33" s="13" t="s">
        <v>298</v>
      </c>
      <c r="S33" s="53">
        <f>VLOOKUP(B33,'Lampiran Segment'!C32:K115,9,0)</f>
        <v>396</v>
      </c>
      <c r="T33" t="str">
        <f>VLOOKUP(B33,[1]List!$B$2:$AM$105,38,0)</f>
        <v>Go</v>
      </c>
    </row>
    <row r="34" spans="1:20">
      <c r="A34" s="13">
        <v>40</v>
      </c>
      <c r="B34" s="14">
        <v>1133122004</v>
      </c>
      <c r="C34" s="15" t="s">
        <v>394</v>
      </c>
      <c r="D34" s="34"/>
      <c r="E34" s="16" t="s">
        <v>351</v>
      </c>
      <c r="F34" s="16" t="s">
        <v>356</v>
      </c>
      <c r="G34" s="16" t="s">
        <v>395</v>
      </c>
      <c r="H34" s="16" t="s">
        <v>472</v>
      </c>
      <c r="I34" s="17">
        <v>-6.1463299999999998</v>
      </c>
      <c r="J34" s="17">
        <v>106.82335999999999</v>
      </c>
      <c r="K34" s="13" t="s">
        <v>36</v>
      </c>
      <c r="L34" s="13" t="s">
        <v>371</v>
      </c>
      <c r="M34" s="18" t="s">
        <v>339</v>
      </c>
      <c r="N34" s="13" t="s">
        <v>35</v>
      </c>
      <c r="O34" s="13"/>
      <c r="P34" s="13">
        <v>3</v>
      </c>
      <c r="Q34" s="13" t="s">
        <v>13</v>
      </c>
      <c r="R34" s="13" t="s">
        <v>299</v>
      </c>
      <c r="S34" s="53">
        <f>VLOOKUP(B34,'Lampiran Segment'!C33:K116,9,0)</f>
        <v>1507</v>
      </c>
      <c r="T34" t="str">
        <f>VLOOKUP(B34,[1]List!$B$2:$AM$105,38,0)</f>
        <v>Go</v>
      </c>
    </row>
    <row r="35" spans="1:20">
      <c r="A35" s="13">
        <v>42</v>
      </c>
      <c r="B35" s="14">
        <v>1133112004</v>
      </c>
      <c r="C35" s="15" t="s">
        <v>396</v>
      </c>
      <c r="D35" s="34"/>
      <c r="E35" s="16" t="s">
        <v>351</v>
      </c>
      <c r="F35" s="16" t="s">
        <v>356</v>
      </c>
      <c r="G35" s="16" t="s">
        <v>395</v>
      </c>
      <c r="H35" s="16" t="s">
        <v>395</v>
      </c>
      <c r="I35" s="17">
        <v>-6.15238</v>
      </c>
      <c r="J35" s="17">
        <v>106.82380000000001</v>
      </c>
      <c r="K35" s="13" t="s">
        <v>36</v>
      </c>
      <c r="L35" s="13" t="s">
        <v>371</v>
      </c>
      <c r="M35" s="18" t="s">
        <v>340</v>
      </c>
      <c r="N35" s="13" t="s">
        <v>35</v>
      </c>
      <c r="O35" s="13"/>
      <c r="P35" s="13">
        <v>3</v>
      </c>
      <c r="Q35" s="13" t="s">
        <v>13</v>
      </c>
      <c r="R35" s="13" t="s">
        <v>300</v>
      </c>
      <c r="S35" s="53">
        <f>VLOOKUP(B35,'Lampiran Segment'!C34:K118,9,0)</f>
        <v>903</v>
      </c>
      <c r="T35" t="str">
        <f>VLOOKUP(B35,[1]List!$B$2:$AM$105,38,0)</f>
        <v>Go</v>
      </c>
    </row>
    <row r="36" spans="1:20">
      <c r="A36" s="13">
        <v>43</v>
      </c>
      <c r="B36" s="14">
        <v>111545109</v>
      </c>
      <c r="C36" s="15" t="s">
        <v>397</v>
      </c>
      <c r="D36" s="34"/>
      <c r="E36" s="16" t="s">
        <v>351</v>
      </c>
      <c r="F36" s="16" t="s">
        <v>357</v>
      </c>
      <c r="G36" s="16" t="s">
        <v>398</v>
      </c>
      <c r="H36" s="16" t="s">
        <v>473</v>
      </c>
      <c r="I36" s="17">
        <v>-6.2030700000000003</v>
      </c>
      <c r="J36" s="17">
        <v>106.79791</v>
      </c>
      <c r="K36" s="13" t="s">
        <v>36</v>
      </c>
      <c r="L36" s="13" t="s">
        <v>363</v>
      </c>
      <c r="M36" s="18" t="s">
        <v>341</v>
      </c>
      <c r="N36" s="13" t="s">
        <v>35</v>
      </c>
      <c r="O36" s="13"/>
      <c r="P36" s="13">
        <v>3</v>
      </c>
      <c r="Q36" s="13" t="s">
        <v>13</v>
      </c>
      <c r="R36" s="13" t="s">
        <v>301</v>
      </c>
      <c r="S36" s="53">
        <f>VLOOKUP(B36,'Lampiran Segment'!C34:K119,9,0)</f>
        <v>963</v>
      </c>
      <c r="T36" t="str">
        <f>VLOOKUP(B36,[1]List!$B$2:$AM$105,38,0)</f>
        <v>Go</v>
      </c>
    </row>
    <row r="37" spans="1:20">
      <c r="A37" s="13">
        <v>50</v>
      </c>
      <c r="B37" s="14">
        <v>111211121</v>
      </c>
      <c r="C37" s="15" t="s">
        <v>401</v>
      </c>
      <c r="D37" s="34"/>
      <c r="E37" s="16" t="s">
        <v>351</v>
      </c>
      <c r="F37" s="16" t="s">
        <v>359</v>
      </c>
      <c r="G37" s="16" t="s">
        <v>400</v>
      </c>
      <c r="H37" s="16" t="s">
        <v>474</v>
      </c>
      <c r="I37" s="17">
        <v>-6.2408000000000001</v>
      </c>
      <c r="J37" s="17">
        <v>106.78107</v>
      </c>
      <c r="K37" s="13" t="s">
        <v>36</v>
      </c>
      <c r="L37" s="13" t="s">
        <v>363</v>
      </c>
      <c r="M37" s="18" t="s">
        <v>344</v>
      </c>
      <c r="N37" s="13" t="s">
        <v>35</v>
      </c>
      <c r="O37" s="13"/>
      <c r="P37" s="13">
        <v>3</v>
      </c>
      <c r="Q37" s="13" t="s">
        <v>13</v>
      </c>
      <c r="R37" s="13" t="s">
        <v>303</v>
      </c>
      <c r="S37" s="53">
        <f>VLOOKUP(B37,'Lampiran Segment'!C41:K126,9,0)</f>
        <v>81</v>
      </c>
      <c r="T37" t="str">
        <f>VLOOKUP(B37,[1]List!$B$2:$AM$105,38,0)</f>
        <v>Go</v>
      </c>
    </row>
    <row r="38" spans="1:20">
      <c r="A38" s="13">
        <v>51</v>
      </c>
      <c r="B38" s="14" t="s">
        <v>306</v>
      </c>
      <c r="C38" s="15" t="s">
        <v>402</v>
      </c>
      <c r="D38" s="34"/>
      <c r="E38" s="16" t="s">
        <v>0</v>
      </c>
      <c r="F38" s="16" t="s">
        <v>37</v>
      </c>
      <c r="G38" s="16" t="s">
        <v>39</v>
      </c>
      <c r="H38" s="16" t="s">
        <v>40</v>
      </c>
      <c r="I38" s="17">
        <v>-6.0173889999999997</v>
      </c>
      <c r="J38" s="17">
        <v>106.05249999999999</v>
      </c>
      <c r="K38" s="13" t="s">
        <v>362</v>
      </c>
      <c r="L38" s="13" t="s">
        <v>371</v>
      </c>
      <c r="M38" s="18" t="s">
        <v>41</v>
      </c>
      <c r="N38" s="13" t="s">
        <v>35</v>
      </c>
      <c r="O38" s="13"/>
      <c r="P38" s="13">
        <v>3</v>
      </c>
      <c r="Q38" s="13" t="s">
        <v>13</v>
      </c>
      <c r="R38" s="13" t="s">
        <v>235</v>
      </c>
      <c r="S38" s="53">
        <f>VLOOKUP(B38,'Lampiran Segment'!F1:K78,6,0)</f>
        <v>736</v>
      </c>
      <c r="T38" t="str">
        <f>VLOOKUP(B38,[1]List!$B$2:$AM$105,38,0)</f>
        <v>Go</v>
      </c>
    </row>
    <row r="39" spans="1:20">
      <c r="A39" s="13">
        <v>52</v>
      </c>
      <c r="B39" s="14">
        <v>1321162007</v>
      </c>
      <c r="C39" s="15" t="s">
        <v>403</v>
      </c>
      <c r="D39" s="34"/>
      <c r="E39" s="16" t="s">
        <v>0</v>
      </c>
      <c r="F39" s="16" t="s">
        <v>42</v>
      </c>
      <c r="G39" s="16" t="s">
        <v>43</v>
      </c>
      <c r="H39" s="16" t="s">
        <v>47</v>
      </c>
      <c r="I39" s="17">
        <v>-6.1163599999999976</v>
      </c>
      <c r="J39" s="17">
        <v>106.16200000000001</v>
      </c>
      <c r="K39" s="13" t="s">
        <v>36</v>
      </c>
      <c r="L39" s="13" t="s">
        <v>363</v>
      </c>
      <c r="M39" s="18" t="s">
        <v>45</v>
      </c>
      <c r="N39" s="13" t="s">
        <v>35</v>
      </c>
      <c r="O39" s="13"/>
      <c r="P39" s="13">
        <v>3</v>
      </c>
      <c r="Q39" s="13" t="s">
        <v>13</v>
      </c>
      <c r="R39" s="13" t="s">
        <v>237</v>
      </c>
      <c r="S39" s="53">
        <f>VLOOKUP(B39,'Lampiran Segment'!F2:K79,6,0)</f>
        <v>445</v>
      </c>
      <c r="T39" t="str">
        <f>VLOOKUP(B39,[1]List!$B$2:$AM$105,38,0)</f>
        <v>Go</v>
      </c>
    </row>
    <row r="40" spans="1:20">
      <c r="A40" s="13">
        <v>53</v>
      </c>
      <c r="B40" s="14">
        <v>130176110</v>
      </c>
      <c r="C40" s="15" t="s">
        <v>404</v>
      </c>
      <c r="D40" s="34"/>
      <c r="E40" s="16" t="s">
        <v>0</v>
      </c>
      <c r="F40" s="16" t="s">
        <v>42</v>
      </c>
      <c r="G40" s="16" t="s">
        <v>43</v>
      </c>
      <c r="H40" s="16" t="s">
        <v>44</v>
      </c>
      <c r="I40" s="17">
        <v>-6.1255899999999981</v>
      </c>
      <c r="J40" s="17">
        <v>106.15985999999999</v>
      </c>
      <c r="K40" s="13" t="s">
        <v>36</v>
      </c>
      <c r="L40" s="13" t="s">
        <v>371</v>
      </c>
      <c r="M40" s="18" t="s">
        <v>45</v>
      </c>
      <c r="N40" s="13" t="s">
        <v>35</v>
      </c>
      <c r="O40" s="13"/>
      <c r="P40" s="13">
        <v>3</v>
      </c>
      <c r="Q40" s="13" t="s">
        <v>13</v>
      </c>
      <c r="R40" s="13" t="s">
        <v>238</v>
      </c>
      <c r="S40" s="53">
        <f>VLOOKUP(B40,'Lampiran Segment'!F3:K80,6,0)</f>
        <v>1891</v>
      </c>
      <c r="T40" t="str">
        <f>VLOOKUP(B40,[1]List!$B$2:$AM$105,38,0)</f>
        <v>Go</v>
      </c>
    </row>
    <row r="41" spans="1:20">
      <c r="A41" s="13">
        <v>54</v>
      </c>
      <c r="B41" s="14">
        <v>1323011003</v>
      </c>
      <c r="C41" s="15" t="s">
        <v>405</v>
      </c>
      <c r="D41" s="34"/>
      <c r="E41" s="16" t="s">
        <v>0</v>
      </c>
      <c r="F41" s="16" t="s">
        <v>352</v>
      </c>
      <c r="G41" s="16" t="s">
        <v>406</v>
      </c>
      <c r="H41" s="16" t="s">
        <v>475</v>
      </c>
      <c r="I41" s="17">
        <v>-6.3289999999999997</v>
      </c>
      <c r="J41" s="17">
        <v>106.33747200000001</v>
      </c>
      <c r="K41" s="13" t="s">
        <v>36</v>
      </c>
      <c r="L41" s="13" t="s">
        <v>363</v>
      </c>
      <c r="M41" s="18" t="s">
        <v>309</v>
      </c>
      <c r="N41" s="13" t="s">
        <v>35</v>
      </c>
      <c r="O41" s="13"/>
      <c r="P41" s="13">
        <v>3</v>
      </c>
      <c r="Q41" s="13" t="s">
        <v>13</v>
      </c>
      <c r="R41" s="13" t="s">
        <v>241</v>
      </c>
      <c r="S41" s="53">
        <f>VLOOKUP(B41,'Lampiran Segment'!F4:K81,6,0)</f>
        <v>1370</v>
      </c>
      <c r="T41" t="str">
        <f>VLOOKUP(B41,[1]List!$B$2:$AM$105,38,0)</f>
        <v>Go</v>
      </c>
    </row>
    <row r="42" spans="1:20">
      <c r="A42" s="13">
        <v>55</v>
      </c>
      <c r="B42" s="14" t="s">
        <v>311</v>
      </c>
      <c r="C42" s="15" t="s">
        <v>407</v>
      </c>
      <c r="D42" s="34"/>
      <c r="E42" s="16" t="s">
        <v>0</v>
      </c>
      <c r="F42" s="16" t="s">
        <v>353</v>
      </c>
      <c r="G42" s="16" t="s">
        <v>408</v>
      </c>
      <c r="H42" s="16" t="s">
        <v>476</v>
      </c>
      <c r="I42" s="17">
        <v>-6.3075400000000004</v>
      </c>
      <c r="J42" s="17">
        <v>106.68326</v>
      </c>
      <c r="K42" s="13" t="s">
        <v>362</v>
      </c>
      <c r="L42" s="13" t="s">
        <v>371</v>
      </c>
      <c r="M42" s="18" t="s">
        <v>310</v>
      </c>
      <c r="N42" s="13" t="s">
        <v>35</v>
      </c>
      <c r="O42" s="13"/>
      <c r="P42" s="13">
        <v>3</v>
      </c>
      <c r="Q42" s="13" t="s">
        <v>13</v>
      </c>
      <c r="R42" s="13" t="s">
        <v>242</v>
      </c>
      <c r="S42" s="53">
        <f>VLOOKUP(B42,'Lampiran Segment'!F5:K82,6,0)</f>
        <v>1567</v>
      </c>
      <c r="T42" t="str">
        <f>VLOOKUP(B42,[1]List!$B$2:$AM$105,38,0)</f>
        <v>Go</v>
      </c>
    </row>
    <row r="43" spans="1:20">
      <c r="A43" s="13">
        <v>56</v>
      </c>
      <c r="B43" s="14">
        <v>1303981004</v>
      </c>
      <c r="C43" s="15" t="s">
        <v>409</v>
      </c>
      <c r="D43" s="34"/>
      <c r="E43" s="16" t="s">
        <v>0</v>
      </c>
      <c r="F43" s="16" t="s">
        <v>353</v>
      </c>
      <c r="G43" s="16" t="s">
        <v>410</v>
      </c>
      <c r="H43" s="16" t="s">
        <v>39</v>
      </c>
      <c r="I43" s="17">
        <v>-6.2958100000000004</v>
      </c>
      <c r="J43" s="17">
        <v>106.71478</v>
      </c>
      <c r="K43" s="13" t="s">
        <v>36</v>
      </c>
      <c r="L43" s="13" t="s">
        <v>363</v>
      </c>
      <c r="M43" s="18" t="s">
        <v>312</v>
      </c>
      <c r="N43" s="13" t="s">
        <v>35</v>
      </c>
      <c r="O43" s="13"/>
      <c r="P43" s="13">
        <v>3</v>
      </c>
      <c r="Q43" s="13" t="s">
        <v>13</v>
      </c>
      <c r="R43" s="13" t="s">
        <v>243</v>
      </c>
      <c r="S43" s="53">
        <f>VLOOKUP(B43,'Lampiran Segment'!F6:K83,6,0)</f>
        <v>810</v>
      </c>
      <c r="T43" t="str">
        <f>VLOOKUP(B43,[1]List!$B$2:$AM$105,38,0)</f>
        <v>Go</v>
      </c>
    </row>
    <row r="44" spans="1:20">
      <c r="A44" s="13">
        <v>58</v>
      </c>
      <c r="B44" s="14">
        <v>122861109</v>
      </c>
      <c r="C44" s="15" t="s">
        <v>411</v>
      </c>
      <c r="D44" s="34"/>
      <c r="E44" s="16" t="s">
        <v>2</v>
      </c>
      <c r="F44" s="16" t="s">
        <v>81</v>
      </c>
      <c r="G44" s="16" t="s">
        <v>82</v>
      </c>
      <c r="H44" s="16" t="s">
        <v>83</v>
      </c>
      <c r="I44" s="17">
        <v>-7.3801799999999984</v>
      </c>
      <c r="J44" s="17">
        <v>108.54288</v>
      </c>
      <c r="K44" s="13" t="s">
        <v>36</v>
      </c>
      <c r="L44" s="13" t="s">
        <v>363</v>
      </c>
      <c r="M44" s="18" t="s">
        <v>84</v>
      </c>
      <c r="N44" s="13" t="s">
        <v>35</v>
      </c>
      <c r="O44" s="13"/>
      <c r="P44" s="13">
        <v>3</v>
      </c>
      <c r="Q44" s="13" t="s">
        <v>13</v>
      </c>
      <c r="R44" s="13" t="s">
        <v>247</v>
      </c>
      <c r="S44" s="53">
        <f>VLOOKUP(B44,'Lampiran Segment'!F8:K85,6,0)</f>
        <v>802</v>
      </c>
      <c r="T44" t="str">
        <f>VLOOKUP(B44,[1]List!$B$2:$AM$105,38,0)</f>
        <v>Go</v>
      </c>
    </row>
    <row r="45" spans="1:20">
      <c r="A45" s="13">
        <v>59</v>
      </c>
      <c r="B45" s="14">
        <v>121075104</v>
      </c>
      <c r="C45" s="15" t="s">
        <v>412</v>
      </c>
      <c r="D45" s="34"/>
      <c r="E45" s="16" t="s">
        <v>2</v>
      </c>
      <c r="F45" s="16" t="s">
        <v>62</v>
      </c>
      <c r="G45" s="16" t="s">
        <v>412</v>
      </c>
      <c r="H45" s="16" t="s">
        <v>412</v>
      </c>
      <c r="I45" s="17">
        <v>-7.0994099999999998</v>
      </c>
      <c r="J45" s="17">
        <v>107.95774</v>
      </c>
      <c r="K45" s="13" t="s">
        <v>36</v>
      </c>
      <c r="L45" s="13" t="s">
        <v>363</v>
      </c>
      <c r="M45" s="18" t="s">
        <v>314</v>
      </c>
      <c r="N45" s="13" t="s">
        <v>35</v>
      </c>
      <c r="O45" s="13"/>
      <c r="P45" s="13">
        <v>3</v>
      </c>
      <c r="Q45" s="13" t="s">
        <v>13</v>
      </c>
      <c r="R45" s="13" t="s">
        <v>249</v>
      </c>
      <c r="S45" s="53">
        <f>VLOOKUP(B45,'Lampiran Segment'!F9:K86,6,0)</f>
        <v>664</v>
      </c>
      <c r="T45" t="str">
        <f>VLOOKUP(B45,[1]List!$B$2:$AM$105,38,0)</f>
        <v>Go</v>
      </c>
    </row>
    <row r="46" spans="1:20">
      <c r="A46" s="13">
        <v>60</v>
      </c>
      <c r="B46" s="14">
        <v>124714126</v>
      </c>
      <c r="C46" s="15" t="s">
        <v>413</v>
      </c>
      <c r="D46" s="34"/>
      <c r="E46" s="16" t="s">
        <v>2</v>
      </c>
      <c r="F46" s="16" t="s">
        <v>74</v>
      </c>
      <c r="G46" s="16" t="s">
        <v>75</v>
      </c>
      <c r="H46" s="16" t="s">
        <v>477</v>
      </c>
      <c r="I46" s="17">
        <v>-6.9598100000000009</v>
      </c>
      <c r="J46" s="17">
        <v>107.76061</v>
      </c>
      <c r="K46" s="13" t="s">
        <v>36</v>
      </c>
      <c r="L46" s="13" t="s">
        <v>363</v>
      </c>
      <c r="M46" s="18" t="s">
        <v>315</v>
      </c>
      <c r="N46" s="13" t="s">
        <v>35</v>
      </c>
      <c r="O46" s="13"/>
      <c r="P46" s="13">
        <v>3</v>
      </c>
      <c r="Q46" s="13" t="s">
        <v>13</v>
      </c>
      <c r="R46" s="13" t="s">
        <v>254</v>
      </c>
      <c r="S46" s="53">
        <f>VLOOKUP(B46,'Lampiran Segment'!F10:K87,6,0)</f>
        <v>1415</v>
      </c>
      <c r="T46" t="str">
        <f>VLOOKUP(B46,[1]List!$B$2:$AM$105,38,0)</f>
        <v>Go</v>
      </c>
    </row>
    <row r="47" spans="1:20">
      <c r="A47" s="13">
        <v>61</v>
      </c>
      <c r="B47" s="14">
        <v>125841103</v>
      </c>
      <c r="C47" s="15" t="s">
        <v>414</v>
      </c>
      <c r="D47" s="34"/>
      <c r="E47" s="16" t="s">
        <v>2</v>
      </c>
      <c r="F47" s="16" t="s">
        <v>72</v>
      </c>
      <c r="G47" s="16" t="s">
        <v>80</v>
      </c>
      <c r="H47" s="16" t="s">
        <v>478</v>
      </c>
      <c r="I47" s="17">
        <v>-6.9241699999999966</v>
      </c>
      <c r="J47" s="17">
        <v>107.64904</v>
      </c>
      <c r="K47" s="13" t="s">
        <v>36</v>
      </c>
      <c r="L47" s="13" t="s">
        <v>363</v>
      </c>
      <c r="M47" s="18" t="s">
        <v>79</v>
      </c>
      <c r="N47" s="13" t="s">
        <v>35</v>
      </c>
      <c r="O47" s="13"/>
      <c r="P47" s="13">
        <v>3</v>
      </c>
      <c r="Q47" s="13" t="s">
        <v>13</v>
      </c>
      <c r="R47" s="13" t="s">
        <v>256</v>
      </c>
      <c r="S47" s="53">
        <f>VLOOKUP(B47,'Lampiran Segment'!F11:K88,6,0)</f>
        <v>859</v>
      </c>
      <c r="T47" t="str">
        <f>VLOOKUP(B47,[1]List!$B$2:$AM$105,38,0)</f>
        <v>Go</v>
      </c>
    </row>
    <row r="48" spans="1:20">
      <c r="A48" s="13">
        <v>62</v>
      </c>
      <c r="B48" s="14" t="s">
        <v>318</v>
      </c>
      <c r="C48" s="15" t="s">
        <v>415</v>
      </c>
      <c r="D48" s="34"/>
      <c r="E48" s="16" t="s">
        <v>2</v>
      </c>
      <c r="F48" s="16" t="s">
        <v>59</v>
      </c>
      <c r="G48" s="16" t="s">
        <v>60</v>
      </c>
      <c r="H48" s="16" t="s">
        <v>135</v>
      </c>
      <c r="I48" s="17">
        <v>-6.2573889999999999</v>
      </c>
      <c r="J48" s="17">
        <v>107.06230600000001</v>
      </c>
      <c r="K48" s="13" t="s">
        <v>362</v>
      </c>
      <c r="L48" s="13" t="s">
        <v>363</v>
      </c>
      <c r="M48" s="18" t="s">
        <v>61</v>
      </c>
      <c r="N48" s="13" t="s">
        <v>35</v>
      </c>
      <c r="O48" s="13"/>
      <c r="P48" s="13">
        <v>3</v>
      </c>
      <c r="Q48" s="13" t="s">
        <v>13</v>
      </c>
      <c r="R48" s="13" t="s">
        <v>259</v>
      </c>
      <c r="S48" s="53">
        <f>VLOOKUP(B48,'Lampiran Segment'!F11:K89,6,0)</f>
        <v>1115</v>
      </c>
      <c r="T48" t="str">
        <f>VLOOKUP(B48,[1]List!$B$2:$AM$105,38,0)</f>
        <v>Go</v>
      </c>
    </row>
    <row r="49" spans="1:20">
      <c r="A49" s="13">
        <v>63</v>
      </c>
      <c r="B49" s="14">
        <v>120288109</v>
      </c>
      <c r="C49" s="15" t="s">
        <v>416</v>
      </c>
      <c r="D49" s="34"/>
      <c r="E49" s="16" t="s">
        <v>2</v>
      </c>
      <c r="F49" s="16" t="s">
        <v>51</v>
      </c>
      <c r="G49" s="16" t="s">
        <v>52</v>
      </c>
      <c r="H49" s="16" t="s">
        <v>53</v>
      </c>
      <c r="I49" s="17">
        <v>-6.496929999999999</v>
      </c>
      <c r="J49" s="17">
        <v>106.79996</v>
      </c>
      <c r="K49" s="13" t="s">
        <v>36</v>
      </c>
      <c r="L49" s="13" t="s">
        <v>363</v>
      </c>
      <c r="M49" s="18" t="s">
        <v>58</v>
      </c>
      <c r="N49" s="13" t="s">
        <v>35</v>
      </c>
      <c r="O49" s="13"/>
      <c r="P49" s="13">
        <v>3</v>
      </c>
      <c r="Q49" s="13" t="s">
        <v>13</v>
      </c>
      <c r="R49" s="13" t="s">
        <v>261</v>
      </c>
      <c r="S49" s="53">
        <f>VLOOKUP(B49,'Lampiran Segment'!F12:K90,6,0)</f>
        <v>786</v>
      </c>
      <c r="T49" t="str">
        <f>VLOOKUP(B49,[1]List!$B$2:$AM$105,38,0)</f>
        <v>Go</v>
      </c>
    </row>
    <row r="50" spans="1:20">
      <c r="A50" s="13">
        <v>64</v>
      </c>
      <c r="B50" s="14" t="s">
        <v>319</v>
      </c>
      <c r="C50" s="15" t="s">
        <v>417</v>
      </c>
      <c r="D50" s="34"/>
      <c r="E50" s="16" t="s">
        <v>4</v>
      </c>
      <c r="F50" s="16" t="s">
        <v>131</v>
      </c>
      <c r="G50" s="16" t="s">
        <v>418</v>
      </c>
      <c r="H50" s="16" t="s">
        <v>418</v>
      </c>
      <c r="I50" s="17">
        <v>-7.2466499999999998</v>
      </c>
      <c r="J50" s="17">
        <v>112.73390999999999</v>
      </c>
      <c r="K50" s="13" t="s">
        <v>36</v>
      </c>
      <c r="L50" s="13" t="s">
        <v>371</v>
      </c>
      <c r="M50" s="18" t="s">
        <v>163</v>
      </c>
      <c r="N50" s="13" t="s">
        <v>35</v>
      </c>
      <c r="O50" s="13"/>
      <c r="P50" s="13">
        <v>3</v>
      </c>
      <c r="Q50" s="13" t="s">
        <v>13</v>
      </c>
      <c r="R50" s="13" t="s">
        <v>262</v>
      </c>
      <c r="S50" s="53">
        <f>VLOOKUP(B50,'Lampiran Segment'!F12:K91,6,0)</f>
        <v>257</v>
      </c>
      <c r="T50" t="str">
        <f>VLOOKUP(B50,[1]List!$B$2:$AM$105,38,0)</f>
        <v>Go</v>
      </c>
    </row>
    <row r="51" spans="1:20">
      <c r="A51" s="13">
        <v>65</v>
      </c>
      <c r="B51" s="14">
        <v>163135126</v>
      </c>
      <c r="C51" s="15" t="s">
        <v>419</v>
      </c>
      <c r="D51" s="34"/>
      <c r="E51" s="16" t="s">
        <v>4</v>
      </c>
      <c r="F51" s="16" t="s">
        <v>131</v>
      </c>
      <c r="G51" s="16" t="s">
        <v>420</v>
      </c>
      <c r="H51" s="16" t="s">
        <v>479</v>
      </c>
      <c r="I51" s="17">
        <v>-7.2734399999999999</v>
      </c>
      <c r="J51" s="17">
        <v>112.75700000000001</v>
      </c>
      <c r="K51" s="13" t="s">
        <v>36</v>
      </c>
      <c r="L51" s="13" t="s">
        <v>363</v>
      </c>
      <c r="M51" s="18" t="s">
        <v>132</v>
      </c>
      <c r="N51" s="13" t="s">
        <v>35</v>
      </c>
      <c r="O51" s="13"/>
      <c r="P51" s="13">
        <v>3</v>
      </c>
      <c r="Q51" s="13" t="s">
        <v>13</v>
      </c>
      <c r="R51" s="13" t="s">
        <v>263</v>
      </c>
      <c r="S51" s="53">
        <f>VLOOKUP(B51,'Lampiran Segment'!F13:K92,6,0)</f>
        <v>1676</v>
      </c>
      <c r="T51" t="str">
        <f>VLOOKUP(B51,[1]List!$B$2:$AM$105,38,0)</f>
        <v>Go</v>
      </c>
    </row>
    <row r="52" spans="1:20">
      <c r="A52" s="13">
        <v>66</v>
      </c>
      <c r="B52" s="14" t="s">
        <v>320</v>
      </c>
      <c r="C52" s="15" t="s">
        <v>421</v>
      </c>
      <c r="D52" s="34"/>
      <c r="E52" s="16" t="s">
        <v>4</v>
      </c>
      <c r="F52" s="16" t="s">
        <v>131</v>
      </c>
      <c r="G52" s="16" t="s">
        <v>420</v>
      </c>
      <c r="H52" s="16" t="s">
        <v>96</v>
      </c>
      <c r="I52" s="17">
        <v>-7.2681499999999986</v>
      </c>
      <c r="J52" s="17">
        <v>112.76103999999999</v>
      </c>
      <c r="K52" s="13" t="s">
        <v>36</v>
      </c>
      <c r="L52" s="13" t="s">
        <v>371</v>
      </c>
      <c r="M52" s="18" t="s">
        <v>132</v>
      </c>
      <c r="N52" s="13" t="s">
        <v>35</v>
      </c>
      <c r="O52" s="13"/>
      <c r="P52" s="13">
        <v>3</v>
      </c>
      <c r="Q52" s="13" t="s">
        <v>13</v>
      </c>
      <c r="R52" s="13" t="s">
        <v>264</v>
      </c>
      <c r="S52" s="53">
        <f>VLOOKUP(B52,'Lampiran Segment'!F14:K93,6,0)</f>
        <v>1860</v>
      </c>
      <c r="T52" t="str">
        <f>VLOOKUP(B52,[1]List!$B$2:$AM$105,38,0)</f>
        <v>Go</v>
      </c>
    </row>
    <row r="53" spans="1:20">
      <c r="A53" s="13">
        <v>68</v>
      </c>
      <c r="B53" s="14" t="s">
        <v>322</v>
      </c>
      <c r="C53" s="15" t="s">
        <v>422</v>
      </c>
      <c r="D53" s="34"/>
      <c r="E53" s="16" t="s">
        <v>4</v>
      </c>
      <c r="F53" s="16" t="s">
        <v>131</v>
      </c>
      <c r="G53" s="16" t="s">
        <v>423</v>
      </c>
      <c r="H53" s="16" t="s">
        <v>480</v>
      </c>
      <c r="I53" s="17">
        <v>-7.3185599999999988</v>
      </c>
      <c r="J53" s="17">
        <v>112.74363</v>
      </c>
      <c r="K53" s="13" t="s">
        <v>36</v>
      </c>
      <c r="L53" s="13" t="s">
        <v>363</v>
      </c>
      <c r="M53" s="18" t="s">
        <v>321</v>
      </c>
      <c r="N53" s="13" t="s">
        <v>35</v>
      </c>
      <c r="O53" s="13"/>
      <c r="P53" s="13">
        <v>3</v>
      </c>
      <c r="Q53" s="13" t="s">
        <v>13</v>
      </c>
      <c r="R53" s="13" t="s">
        <v>265</v>
      </c>
      <c r="S53" s="53">
        <f>VLOOKUP(B53,'Lampiran Segment'!F16:K95,6,0)</f>
        <v>1394</v>
      </c>
      <c r="T53" t="str">
        <f>VLOOKUP(B53,[1]List!$B$2:$AM$105,38,0)</f>
        <v>Go</v>
      </c>
    </row>
    <row r="54" spans="1:20">
      <c r="A54" s="13">
        <v>70</v>
      </c>
      <c r="B54" s="14">
        <v>161876109</v>
      </c>
      <c r="C54" s="15" t="s">
        <v>424</v>
      </c>
      <c r="D54" s="34"/>
      <c r="E54" s="16" t="s">
        <v>4</v>
      </c>
      <c r="F54" s="16" t="s">
        <v>101</v>
      </c>
      <c r="G54" s="16" t="s">
        <v>123</v>
      </c>
      <c r="H54" s="16" t="s">
        <v>141</v>
      </c>
      <c r="I54" s="17">
        <v>-7.3509200000000003</v>
      </c>
      <c r="J54" s="17">
        <v>112.73339</v>
      </c>
      <c r="K54" s="13" t="s">
        <v>36</v>
      </c>
      <c r="L54" s="13" t="s">
        <v>371</v>
      </c>
      <c r="M54" s="18" t="s">
        <v>124</v>
      </c>
      <c r="N54" s="13" t="s">
        <v>35</v>
      </c>
      <c r="O54" s="13"/>
      <c r="P54" s="13">
        <v>3</v>
      </c>
      <c r="Q54" s="13" t="s">
        <v>13</v>
      </c>
      <c r="R54" s="13" t="s">
        <v>267</v>
      </c>
      <c r="S54" s="53">
        <f>VLOOKUP(B54,'Lampiran Segment'!F18:K97,6,0)</f>
        <v>564</v>
      </c>
      <c r="T54" t="str">
        <f>VLOOKUP(B54,[1]List!$B$2:$AM$105,38,0)</f>
        <v>Go</v>
      </c>
    </row>
    <row r="55" spans="1:20">
      <c r="A55" s="13">
        <v>71</v>
      </c>
      <c r="B55" s="14">
        <v>163181126</v>
      </c>
      <c r="C55" s="15" t="s">
        <v>425</v>
      </c>
      <c r="D55" s="34"/>
      <c r="E55" s="16" t="s">
        <v>4</v>
      </c>
      <c r="F55" s="16" t="s">
        <v>101</v>
      </c>
      <c r="G55" s="16" t="s">
        <v>118</v>
      </c>
      <c r="H55" s="16" t="s">
        <v>128</v>
      </c>
      <c r="I55" s="17">
        <v>-7.442109999999996</v>
      </c>
      <c r="J55" s="17">
        <v>112.71442</v>
      </c>
      <c r="K55" s="13" t="s">
        <v>36</v>
      </c>
      <c r="L55" s="13" t="s">
        <v>363</v>
      </c>
      <c r="M55" s="18" t="s">
        <v>127</v>
      </c>
      <c r="N55" s="13" t="s">
        <v>35</v>
      </c>
      <c r="O55" s="13"/>
      <c r="P55" s="13">
        <v>3</v>
      </c>
      <c r="Q55" s="13" t="s">
        <v>13</v>
      </c>
      <c r="R55" s="13" t="s">
        <v>269</v>
      </c>
      <c r="S55" s="53">
        <f>VLOOKUP(B55,'Lampiran Segment'!F19:K98,6,0)</f>
        <v>102</v>
      </c>
      <c r="T55" t="str">
        <f>VLOOKUP(B55,[1]List!$B$2:$AM$105,38,0)</f>
        <v>Go</v>
      </c>
    </row>
    <row r="56" spans="1:20">
      <c r="A56" s="13">
        <v>72</v>
      </c>
      <c r="B56" s="14">
        <v>163157126</v>
      </c>
      <c r="C56" s="15" t="s">
        <v>426</v>
      </c>
      <c r="D56" s="34"/>
      <c r="E56" s="16" t="s">
        <v>4</v>
      </c>
      <c r="F56" s="16" t="s">
        <v>360</v>
      </c>
      <c r="G56" s="16" t="s">
        <v>427</v>
      </c>
      <c r="H56" s="16" t="s">
        <v>427</v>
      </c>
      <c r="I56" s="17">
        <v>-7.4763199999999959</v>
      </c>
      <c r="J56" s="17">
        <v>112.43198</v>
      </c>
      <c r="K56" s="13" t="s">
        <v>36</v>
      </c>
      <c r="L56" s="13" t="s">
        <v>363</v>
      </c>
      <c r="M56" s="18" t="s">
        <v>326</v>
      </c>
      <c r="N56" s="13" t="s">
        <v>35</v>
      </c>
      <c r="O56" s="13"/>
      <c r="P56" s="13">
        <v>3</v>
      </c>
      <c r="Q56" s="13" t="s">
        <v>13</v>
      </c>
      <c r="R56" s="13" t="s">
        <v>271</v>
      </c>
      <c r="S56" s="53">
        <f>VLOOKUP(B56,'Lampiran Segment'!F20:K99,6,0)</f>
        <v>536</v>
      </c>
      <c r="T56" t="str">
        <f>VLOOKUP(B56,[1]List!$B$2:$AM$105,38,0)</f>
        <v>Go</v>
      </c>
    </row>
    <row r="57" spans="1:20">
      <c r="A57" s="13">
        <v>73</v>
      </c>
      <c r="B57" s="14">
        <v>1647952007</v>
      </c>
      <c r="C57" s="15" t="s">
        <v>428</v>
      </c>
      <c r="D57" s="34"/>
      <c r="E57" s="16" t="s">
        <v>4</v>
      </c>
      <c r="F57" s="16" t="s">
        <v>360</v>
      </c>
      <c r="G57" s="16" t="s">
        <v>427</v>
      </c>
      <c r="H57" s="16" t="s">
        <v>427</v>
      </c>
      <c r="I57" s="17">
        <v>-7.4764799999999987</v>
      </c>
      <c r="J57" s="17">
        <v>112.43680999999999</v>
      </c>
      <c r="K57" s="13" t="s">
        <v>36</v>
      </c>
      <c r="L57" s="13" t="s">
        <v>363</v>
      </c>
      <c r="M57" s="18" t="s">
        <v>326</v>
      </c>
      <c r="N57" s="13" t="s">
        <v>35</v>
      </c>
      <c r="O57" s="13"/>
      <c r="P57" s="13">
        <v>3</v>
      </c>
      <c r="Q57" s="13" t="s">
        <v>13</v>
      </c>
      <c r="R57" s="13" t="s">
        <v>272</v>
      </c>
      <c r="S57" s="53">
        <f>VLOOKUP(B57,'Lampiran Segment'!F21:K100,6,0)</f>
        <v>1874</v>
      </c>
      <c r="T57" t="str">
        <f>VLOOKUP(B57,[1]List!$B$2:$AM$105,38,0)</f>
        <v>Go</v>
      </c>
    </row>
    <row r="58" spans="1:20">
      <c r="A58" s="13">
        <v>74</v>
      </c>
      <c r="B58" s="14">
        <v>160217104</v>
      </c>
      <c r="C58" s="15" t="s">
        <v>140</v>
      </c>
      <c r="D58" s="34"/>
      <c r="E58" s="16" t="s">
        <v>4</v>
      </c>
      <c r="F58" s="16" t="s">
        <v>102</v>
      </c>
      <c r="G58" s="16" t="s">
        <v>39</v>
      </c>
      <c r="H58" s="16" t="s">
        <v>140</v>
      </c>
      <c r="I58" s="17">
        <v>-7.5454999999999997</v>
      </c>
      <c r="J58" s="17">
        <v>112.23339</v>
      </c>
      <c r="K58" s="13" t="s">
        <v>36</v>
      </c>
      <c r="L58" s="13" t="s">
        <v>363</v>
      </c>
      <c r="M58" s="18" t="s">
        <v>104</v>
      </c>
      <c r="N58" s="13" t="s">
        <v>35</v>
      </c>
      <c r="O58" s="13"/>
      <c r="P58" s="13">
        <v>3</v>
      </c>
      <c r="Q58" s="13" t="s">
        <v>13</v>
      </c>
      <c r="R58" s="13" t="s">
        <v>274</v>
      </c>
      <c r="S58" s="53">
        <f>VLOOKUP(B58,'Lampiran Segment'!F22:K101,6,0)</f>
        <v>3001</v>
      </c>
      <c r="T58" t="str">
        <f>VLOOKUP(B58,[1]List!$B$2:$AM$105,38,0)</f>
        <v>Go</v>
      </c>
    </row>
    <row r="59" spans="1:20">
      <c r="A59" s="13">
        <v>75</v>
      </c>
      <c r="B59" s="14" t="s">
        <v>328</v>
      </c>
      <c r="C59" s="15" t="s">
        <v>429</v>
      </c>
      <c r="D59" s="34"/>
      <c r="E59" s="16" t="s">
        <v>4</v>
      </c>
      <c r="F59" s="16" t="s">
        <v>119</v>
      </c>
      <c r="G59" s="16" t="s">
        <v>429</v>
      </c>
      <c r="H59" s="16" t="s">
        <v>481</v>
      </c>
      <c r="I59" s="17">
        <v>-7.5895700000000001</v>
      </c>
      <c r="J59" s="17">
        <v>112.09632999999999</v>
      </c>
      <c r="K59" s="13" t="s">
        <v>36</v>
      </c>
      <c r="L59" s="13" t="s">
        <v>363</v>
      </c>
      <c r="M59" s="18" t="s">
        <v>327</v>
      </c>
      <c r="N59" s="13" t="s">
        <v>35</v>
      </c>
      <c r="O59" s="13"/>
      <c r="P59" s="13">
        <v>3</v>
      </c>
      <c r="Q59" s="13" t="s">
        <v>13</v>
      </c>
      <c r="R59" s="13" t="s">
        <v>275</v>
      </c>
      <c r="S59" s="53">
        <f>VLOOKUP(B59,'Lampiran Segment'!F23:K102,6,0)</f>
        <v>1852</v>
      </c>
      <c r="T59" t="str">
        <f>VLOOKUP(B59,[1]List!$B$2:$AM$105,38,0)</f>
        <v>Go</v>
      </c>
    </row>
    <row r="60" spans="1:20">
      <c r="A60" s="13">
        <v>76</v>
      </c>
      <c r="B60" s="14">
        <v>1628011001</v>
      </c>
      <c r="C60" s="15" t="s">
        <v>430</v>
      </c>
      <c r="D60" s="34"/>
      <c r="E60" s="16" t="s">
        <v>4</v>
      </c>
      <c r="F60" s="16" t="s">
        <v>110</v>
      </c>
      <c r="G60" s="16" t="s">
        <v>431</v>
      </c>
      <c r="H60" s="16" t="s">
        <v>482</v>
      </c>
      <c r="I60" s="17">
        <v>-7.77081</v>
      </c>
      <c r="J60" s="17">
        <v>112.0339</v>
      </c>
      <c r="K60" s="13" t="s">
        <v>36</v>
      </c>
      <c r="L60" s="13" t="s">
        <v>363</v>
      </c>
      <c r="M60" s="18" t="s">
        <v>329</v>
      </c>
      <c r="N60" s="13" t="s">
        <v>35</v>
      </c>
      <c r="O60" s="13"/>
      <c r="P60" s="13">
        <v>3</v>
      </c>
      <c r="Q60" s="13" t="s">
        <v>13</v>
      </c>
      <c r="R60" s="13" t="s">
        <v>276</v>
      </c>
      <c r="S60" s="53">
        <f>VLOOKUP(B60,'Lampiran Segment'!F24:K103,6,0)</f>
        <v>1381</v>
      </c>
      <c r="T60" t="str">
        <f>VLOOKUP(B60,[1]List!$B$2:$AM$105,38,0)</f>
        <v>Go</v>
      </c>
    </row>
    <row r="61" spans="1:20">
      <c r="A61" s="13">
        <v>77</v>
      </c>
      <c r="B61" s="14">
        <v>1649892007</v>
      </c>
      <c r="C61" s="15" t="s">
        <v>432</v>
      </c>
      <c r="D61" s="34"/>
      <c r="E61" s="16" t="s">
        <v>4</v>
      </c>
      <c r="F61" s="16" t="s">
        <v>120</v>
      </c>
      <c r="G61" s="16" t="s">
        <v>121</v>
      </c>
      <c r="H61" s="16" t="s">
        <v>483</v>
      </c>
      <c r="I61" s="17">
        <v>-7.7430199999999987</v>
      </c>
      <c r="J61" s="17">
        <v>112.72765</v>
      </c>
      <c r="K61" s="13" t="s">
        <v>36</v>
      </c>
      <c r="L61" s="13" t="s">
        <v>363</v>
      </c>
      <c r="M61" s="18" t="s">
        <v>122</v>
      </c>
      <c r="N61" s="13" t="s">
        <v>35</v>
      </c>
      <c r="O61" s="13"/>
      <c r="P61" s="13">
        <v>3</v>
      </c>
      <c r="Q61" s="13" t="s">
        <v>13</v>
      </c>
      <c r="R61" s="13" t="s">
        <v>280</v>
      </c>
      <c r="S61" s="53">
        <f>VLOOKUP(B61,'Lampiran Segment'!F25:K104,6,0)</f>
        <v>2401</v>
      </c>
      <c r="T61" t="str">
        <f>VLOOKUP(B61,[1]List!$B$2:$AM$105,38,0)</f>
        <v>Go</v>
      </c>
    </row>
    <row r="62" spans="1:20">
      <c r="A62" s="13">
        <v>78</v>
      </c>
      <c r="B62" s="14">
        <v>161332104</v>
      </c>
      <c r="C62" s="15" t="s">
        <v>433</v>
      </c>
      <c r="D62" s="34"/>
      <c r="E62" s="16" t="s">
        <v>4</v>
      </c>
      <c r="F62" s="16" t="s">
        <v>105</v>
      </c>
      <c r="G62" s="16" t="s">
        <v>109</v>
      </c>
      <c r="H62" s="16" t="s">
        <v>109</v>
      </c>
      <c r="I62" s="17">
        <v>-8.1663899999999998</v>
      </c>
      <c r="J62" s="17">
        <v>113.71155</v>
      </c>
      <c r="K62" s="13" t="s">
        <v>36</v>
      </c>
      <c r="L62" s="13" t="s">
        <v>371</v>
      </c>
      <c r="M62" s="18" t="s">
        <v>108</v>
      </c>
      <c r="N62" s="13" t="s">
        <v>35</v>
      </c>
      <c r="O62" s="13"/>
      <c r="P62" s="13">
        <v>3</v>
      </c>
      <c r="Q62" s="13" t="s">
        <v>13</v>
      </c>
      <c r="R62" s="13" t="s">
        <v>282</v>
      </c>
      <c r="S62" s="53">
        <f>VLOOKUP(B62,'Lampiran Segment'!F26:K105,6,0)</f>
        <v>1774</v>
      </c>
      <c r="T62" t="str">
        <f>VLOOKUP(B62,[1]List!$B$2:$AM$105,38,0)</f>
        <v>Go</v>
      </c>
    </row>
    <row r="63" spans="1:20">
      <c r="A63" s="13">
        <v>79</v>
      </c>
      <c r="B63" s="14" t="s">
        <v>331</v>
      </c>
      <c r="C63" s="15" t="s">
        <v>434</v>
      </c>
      <c r="D63" s="34"/>
      <c r="E63" s="16" t="s">
        <v>4</v>
      </c>
      <c r="F63" s="16" t="s">
        <v>105</v>
      </c>
      <c r="G63" s="16" t="s">
        <v>107</v>
      </c>
      <c r="H63" s="16" t="s">
        <v>90</v>
      </c>
      <c r="I63" s="17">
        <v>-8.1707800000000006</v>
      </c>
      <c r="J63" s="17">
        <v>113.6785</v>
      </c>
      <c r="K63" s="13" t="s">
        <v>36</v>
      </c>
      <c r="L63" s="13" t="s">
        <v>363</v>
      </c>
      <c r="M63" s="18" t="s">
        <v>330</v>
      </c>
      <c r="N63" s="13" t="s">
        <v>35</v>
      </c>
      <c r="O63" s="13"/>
      <c r="P63" s="13">
        <v>3</v>
      </c>
      <c r="Q63" s="13" t="s">
        <v>13</v>
      </c>
      <c r="R63" s="13" t="s">
        <v>283</v>
      </c>
      <c r="S63" s="53">
        <f>VLOOKUP(B63,'Lampiran Segment'!F27:K106,6,0)</f>
        <v>1026</v>
      </c>
      <c r="T63" t="str">
        <f>VLOOKUP(B63,[1]List!$B$2:$AM$105,38,0)</f>
        <v>Go</v>
      </c>
    </row>
    <row r="64" spans="1:20">
      <c r="A64" s="13">
        <v>80</v>
      </c>
      <c r="B64" s="14">
        <v>150235110</v>
      </c>
      <c r="C64" s="15" t="s">
        <v>435</v>
      </c>
      <c r="D64" s="34"/>
      <c r="E64" s="16" t="s">
        <v>1</v>
      </c>
      <c r="F64" s="16" t="s">
        <v>354</v>
      </c>
      <c r="G64" s="16" t="s">
        <v>388</v>
      </c>
      <c r="H64" s="16" t="s">
        <v>484</v>
      </c>
      <c r="I64" s="17">
        <v>-7.7940199999999988</v>
      </c>
      <c r="J64" s="17">
        <v>110.38303999999999</v>
      </c>
      <c r="K64" s="13" t="s">
        <v>36</v>
      </c>
      <c r="L64" s="13" t="s">
        <v>371</v>
      </c>
      <c r="M64" s="18" t="s">
        <v>49</v>
      </c>
      <c r="N64" s="13" t="s">
        <v>35</v>
      </c>
      <c r="O64" s="13"/>
      <c r="P64" s="13">
        <v>3</v>
      </c>
      <c r="Q64" s="13" t="s">
        <v>13</v>
      </c>
      <c r="R64" s="13" t="s">
        <v>284</v>
      </c>
      <c r="S64" s="53">
        <f>VLOOKUP(B64,'Lampiran Segment'!F28:K107,6,0)</f>
        <v>1187</v>
      </c>
      <c r="T64" t="str">
        <f>VLOOKUP(B64,[1]List!$B$2:$AM$105,38,0)</f>
        <v>Go</v>
      </c>
    </row>
    <row r="65" spans="1:20">
      <c r="A65" s="13">
        <v>81</v>
      </c>
      <c r="B65" s="14">
        <v>150123109</v>
      </c>
      <c r="C65" s="15" t="s">
        <v>436</v>
      </c>
      <c r="D65" s="34"/>
      <c r="E65" s="16" t="s">
        <v>1</v>
      </c>
      <c r="F65" s="16" t="s">
        <v>354</v>
      </c>
      <c r="G65" s="16" t="s">
        <v>117</v>
      </c>
      <c r="H65" s="16" t="s">
        <v>485</v>
      </c>
      <c r="I65" s="17">
        <v>-7.7882699999999998</v>
      </c>
      <c r="J65" s="17">
        <v>110.358</v>
      </c>
      <c r="K65" s="13" t="s">
        <v>36</v>
      </c>
      <c r="L65" s="13" t="s">
        <v>371</v>
      </c>
      <c r="M65" s="18" t="s">
        <v>333</v>
      </c>
      <c r="N65" s="13" t="s">
        <v>35</v>
      </c>
      <c r="O65" s="13"/>
      <c r="P65" s="13">
        <v>3</v>
      </c>
      <c r="Q65" s="13" t="s">
        <v>13</v>
      </c>
      <c r="R65" s="13" t="s">
        <v>286</v>
      </c>
      <c r="S65" s="53">
        <f>VLOOKUP(B65,'Lampiran Segment'!F28:K108,6,0)</f>
        <v>101</v>
      </c>
      <c r="T65" t="str">
        <f>VLOOKUP(B65,[1]List!$B$2:$AM$105,38,0)</f>
        <v>Go</v>
      </c>
    </row>
    <row r="66" spans="1:20">
      <c r="A66" s="13">
        <v>82</v>
      </c>
      <c r="B66" s="14">
        <v>1509741023</v>
      </c>
      <c r="C66" s="15" t="s">
        <v>437</v>
      </c>
      <c r="D66" s="34"/>
      <c r="E66" s="16" t="s">
        <v>1</v>
      </c>
      <c r="F66" s="16" t="s">
        <v>50</v>
      </c>
      <c r="G66" s="16" t="s">
        <v>438</v>
      </c>
      <c r="H66" s="16" t="s">
        <v>486</v>
      </c>
      <c r="I66" s="17">
        <v>-7.7937599999999998</v>
      </c>
      <c r="J66" s="17">
        <v>110.29522</v>
      </c>
      <c r="K66" s="13" t="s">
        <v>36</v>
      </c>
      <c r="L66" s="13" t="s">
        <v>363</v>
      </c>
      <c r="M66" s="18" t="s">
        <v>334</v>
      </c>
      <c r="N66" s="13" t="s">
        <v>35</v>
      </c>
      <c r="O66" s="13"/>
      <c r="P66" s="13">
        <v>3</v>
      </c>
      <c r="Q66" s="13" t="s">
        <v>13</v>
      </c>
      <c r="R66" s="13" t="s">
        <v>287</v>
      </c>
      <c r="S66" s="53">
        <f>VLOOKUP(B66,'Lampiran Segment'!F28:K109,6,0)</f>
        <v>2099</v>
      </c>
      <c r="T66" t="str">
        <f>VLOOKUP(B66,[1]List!$B$2:$AM$105,38,0)</f>
        <v>Go</v>
      </c>
    </row>
    <row r="67" spans="1:20">
      <c r="A67" s="13">
        <v>83</v>
      </c>
      <c r="B67" s="14">
        <v>150659103</v>
      </c>
      <c r="C67" s="15" t="s">
        <v>439</v>
      </c>
      <c r="D67" s="34"/>
      <c r="E67" s="16" t="s">
        <v>1</v>
      </c>
      <c r="F67" s="16" t="s">
        <v>48</v>
      </c>
      <c r="G67" s="16" t="s">
        <v>440</v>
      </c>
      <c r="H67" s="16" t="s">
        <v>487</v>
      </c>
      <c r="I67" s="17">
        <v>-7.7998200000000004</v>
      </c>
      <c r="J67" s="17">
        <v>110.28273</v>
      </c>
      <c r="K67" s="13" t="s">
        <v>36</v>
      </c>
      <c r="L67" s="13" t="s">
        <v>363</v>
      </c>
      <c r="M67" s="18" t="s">
        <v>334</v>
      </c>
      <c r="N67" s="13" t="s">
        <v>35</v>
      </c>
      <c r="O67" s="13"/>
      <c r="P67" s="13">
        <v>3</v>
      </c>
      <c r="Q67" s="13" t="s">
        <v>13</v>
      </c>
      <c r="R67" s="13" t="s">
        <v>288</v>
      </c>
      <c r="S67" s="53">
        <f>VLOOKUP(B67,'Lampiran Segment'!F28:K110,6,0)</f>
        <v>637</v>
      </c>
      <c r="T67" t="str">
        <f>VLOOKUP(B67,[1]List!$B$2:$AM$105,38,0)</f>
        <v>Go</v>
      </c>
    </row>
    <row r="68" spans="1:20">
      <c r="A68" s="13">
        <v>84</v>
      </c>
      <c r="B68" s="14">
        <v>142463126</v>
      </c>
      <c r="C68" s="15" t="s">
        <v>441</v>
      </c>
      <c r="D68" s="34"/>
      <c r="E68" s="16" t="s">
        <v>3</v>
      </c>
      <c r="F68" s="16" t="s">
        <v>355</v>
      </c>
      <c r="G68" s="16" t="s">
        <v>442</v>
      </c>
      <c r="H68" s="16" t="s">
        <v>488</v>
      </c>
      <c r="I68" s="17">
        <v>-6.9833499999999997</v>
      </c>
      <c r="J68" s="17">
        <v>110.40684</v>
      </c>
      <c r="K68" s="13" t="s">
        <v>36</v>
      </c>
      <c r="L68" s="13" t="s">
        <v>363</v>
      </c>
      <c r="M68" s="18" t="s">
        <v>335</v>
      </c>
      <c r="N68" s="13" t="s">
        <v>35</v>
      </c>
      <c r="O68" s="13"/>
      <c r="P68" s="13">
        <v>3</v>
      </c>
      <c r="Q68" s="13" t="s">
        <v>13</v>
      </c>
      <c r="R68" s="13" t="s">
        <v>290</v>
      </c>
      <c r="S68" s="53">
        <f>VLOOKUP(B68,'Lampiran Segment'!F29:K111,6,0)</f>
        <v>1762</v>
      </c>
      <c r="T68" t="str">
        <f>VLOOKUP(B68,[1]List!$B$2:$AM$105,38,0)</f>
        <v>Go</v>
      </c>
    </row>
    <row r="69" spans="1:20">
      <c r="A69" s="13">
        <v>85</v>
      </c>
      <c r="B69" s="14">
        <v>1436911023</v>
      </c>
      <c r="C69" s="15" t="s">
        <v>443</v>
      </c>
      <c r="D69" s="34"/>
      <c r="E69" s="16" t="s">
        <v>3</v>
      </c>
      <c r="F69" s="16" t="s">
        <v>89</v>
      </c>
      <c r="G69" s="16" t="s">
        <v>138</v>
      </c>
      <c r="H69" s="16" t="s">
        <v>489</v>
      </c>
      <c r="I69" s="17">
        <v>-7.62127</v>
      </c>
      <c r="J69" s="17">
        <v>109.13070999999999</v>
      </c>
      <c r="K69" s="13" t="s">
        <v>36</v>
      </c>
      <c r="L69" s="13" t="s">
        <v>363</v>
      </c>
      <c r="M69" s="18" t="s">
        <v>139</v>
      </c>
      <c r="N69" s="13" t="s">
        <v>35</v>
      </c>
      <c r="O69" s="13"/>
      <c r="P69" s="13">
        <v>3</v>
      </c>
      <c r="Q69" s="13" t="s">
        <v>13</v>
      </c>
      <c r="R69" s="13" t="s">
        <v>291</v>
      </c>
      <c r="S69" s="53">
        <f>VLOOKUP(B69,'Lampiran Segment'!F30:K112,6,0)</f>
        <v>1669</v>
      </c>
      <c r="T69" t="str">
        <f>VLOOKUP(B69,[1]List!$B$2:$AM$105,38,0)</f>
        <v>Go</v>
      </c>
    </row>
    <row r="70" spans="1:20">
      <c r="A70" s="13">
        <v>86</v>
      </c>
      <c r="B70" s="14">
        <v>1440762003</v>
      </c>
      <c r="C70" s="15" t="s">
        <v>444</v>
      </c>
      <c r="D70" s="34"/>
      <c r="E70" s="16" t="s">
        <v>3</v>
      </c>
      <c r="F70" s="16" t="s">
        <v>91</v>
      </c>
      <c r="G70" s="16" t="s">
        <v>93</v>
      </c>
      <c r="H70" s="16" t="s">
        <v>121</v>
      </c>
      <c r="I70" s="17">
        <v>-7.5641400000000001</v>
      </c>
      <c r="J70" s="17">
        <v>110.79979</v>
      </c>
      <c r="K70" s="13" t="s">
        <v>36</v>
      </c>
      <c r="L70" s="13" t="s">
        <v>371</v>
      </c>
      <c r="M70" s="18" t="s">
        <v>92</v>
      </c>
      <c r="N70" s="13" t="s">
        <v>35</v>
      </c>
      <c r="O70" s="13"/>
      <c r="P70" s="13">
        <v>3</v>
      </c>
      <c r="Q70" s="13" t="s">
        <v>13</v>
      </c>
      <c r="R70" s="13" t="s">
        <v>293</v>
      </c>
      <c r="S70" s="53">
        <f>VLOOKUP(B70,'Lampiran Segment'!F30:K113,6,0)</f>
        <v>600</v>
      </c>
      <c r="T70" t="str">
        <f>VLOOKUP(B70,[1]List!$B$2:$AM$105,38,0)</f>
        <v>Go</v>
      </c>
    </row>
    <row r="71" spans="1:20">
      <c r="A71" s="13">
        <v>87</v>
      </c>
      <c r="B71" s="14">
        <v>142566126</v>
      </c>
      <c r="C71" s="15" t="s">
        <v>445</v>
      </c>
      <c r="D71" s="34"/>
      <c r="E71" s="16" t="s">
        <v>3</v>
      </c>
      <c r="F71" s="16" t="s">
        <v>355</v>
      </c>
      <c r="G71" s="16" t="s">
        <v>446</v>
      </c>
      <c r="H71" s="16" t="s">
        <v>490</v>
      </c>
      <c r="I71" s="17">
        <v>-6.9785199999999987</v>
      </c>
      <c r="J71" s="17">
        <v>110.41184</v>
      </c>
      <c r="K71" s="13" t="s">
        <v>36</v>
      </c>
      <c r="L71" s="13" t="s">
        <v>363</v>
      </c>
      <c r="M71" s="18" t="s">
        <v>335</v>
      </c>
      <c r="N71" s="13" t="s">
        <v>35</v>
      </c>
      <c r="O71" s="13"/>
      <c r="P71" s="13">
        <v>3</v>
      </c>
      <c r="Q71" s="13" t="s">
        <v>13</v>
      </c>
      <c r="R71" s="13" t="s">
        <v>294</v>
      </c>
      <c r="S71" s="53">
        <f>VLOOKUP(B71,'Lampiran Segment'!F31:K114,6,0)</f>
        <v>690</v>
      </c>
      <c r="T71" t="str">
        <f>VLOOKUP(B71,[1]List!$B$2:$AM$105,38,0)</f>
        <v>Go</v>
      </c>
    </row>
    <row r="72" spans="1:20">
      <c r="A72" s="13">
        <v>88</v>
      </c>
      <c r="B72" s="14">
        <v>1446221023</v>
      </c>
      <c r="C72" s="15" t="s">
        <v>447</v>
      </c>
      <c r="D72" s="34"/>
      <c r="E72" s="16" t="s">
        <v>3</v>
      </c>
      <c r="F72" s="16" t="s">
        <v>355</v>
      </c>
      <c r="G72" s="16" t="s">
        <v>391</v>
      </c>
      <c r="H72" s="16" t="s">
        <v>470</v>
      </c>
      <c r="I72" s="17">
        <v>-6.9590799999999993</v>
      </c>
      <c r="J72" s="17">
        <v>110.41924</v>
      </c>
      <c r="K72" s="13" t="s">
        <v>36</v>
      </c>
      <c r="L72" s="13" t="s">
        <v>371</v>
      </c>
      <c r="M72" s="18" t="s">
        <v>337</v>
      </c>
      <c r="N72" s="13" t="s">
        <v>35</v>
      </c>
      <c r="O72" s="13"/>
      <c r="P72" s="13">
        <v>3</v>
      </c>
      <c r="Q72" s="13" t="s">
        <v>13</v>
      </c>
      <c r="R72" s="13" t="s">
        <v>296</v>
      </c>
      <c r="S72" s="53">
        <f>VLOOKUP(B72,'Lampiran Segment'!F32:K115,6,0)</f>
        <v>1418</v>
      </c>
      <c r="T72" t="str">
        <f>VLOOKUP(B72,[1]List!$B$2:$AM$105,38,0)</f>
        <v>Go</v>
      </c>
    </row>
    <row r="73" spans="1:20">
      <c r="A73" s="13">
        <v>89</v>
      </c>
      <c r="B73" s="14">
        <v>1442382001</v>
      </c>
      <c r="C73" s="15" t="s">
        <v>448</v>
      </c>
      <c r="D73" s="34"/>
      <c r="E73" s="16" t="s">
        <v>3</v>
      </c>
      <c r="F73" s="16" t="s">
        <v>91</v>
      </c>
      <c r="G73" s="16" t="s">
        <v>95</v>
      </c>
      <c r="H73" s="16" t="s">
        <v>491</v>
      </c>
      <c r="I73" s="17">
        <v>-7.5688399999999998</v>
      </c>
      <c r="J73" s="17">
        <v>110.84810777778</v>
      </c>
      <c r="K73" s="13" t="s">
        <v>36</v>
      </c>
      <c r="L73" s="13" t="s">
        <v>363</v>
      </c>
      <c r="M73" s="18" t="s">
        <v>97</v>
      </c>
      <c r="N73" s="13" t="s">
        <v>35</v>
      </c>
      <c r="O73" s="13"/>
      <c r="P73" s="13">
        <v>3</v>
      </c>
      <c r="Q73" s="13" t="s">
        <v>13</v>
      </c>
      <c r="R73" s="13" t="s">
        <v>297</v>
      </c>
      <c r="S73" s="53">
        <f>VLOOKUP(B73,'Lampiran Segment'!F33:K116,6,0)</f>
        <v>2303</v>
      </c>
      <c r="T73" t="str">
        <f>VLOOKUP(B73,[1]List!$B$2:$AM$105,38,0)</f>
        <v>Go</v>
      </c>
    </row>
    <row r="74" spans="1:20">
      <c r="A74" s="13">
        <v>96</v>
      </c>
      <c r="B74" s="14">
        <v>110157102</v>
      </c>
      <c r="C74" s="15" t="s">
        <v>449</v>
      </c>
      <c r="D74" s="34"/>
      <c r="E74" s="16" t="s">
        <v>351</v>
      </c>
      <c r="F74" s="16" t="s">
        <v>356</v>
      </c>
      <c r="G74" s="16" t="s">
        <v>450</v>
      </c>
      <c r="H74" s="16" t="s">
        <v>492</v>
      </c>
      <c r="I74" s="17">
        <v>-6.1618399999999998</v>
      </c>
      <c r="J74" s="17">
        <v>106.70433</v>
      </c>
      <c r="K74" s="13" t="s">
        <v>36</v>
      </c>
      <c r="L74" s="13" t="s">
        <v>363</v>
      </c>
      <c r="M74" s="18" t="s">
        <v>343</v>
      </c>
      <c r="N74" s="13" t="s">
        <v>35</v>
      </c>
      <c r="O74" s="13"/>
      <c r="P74" s="13">
        <v>3</v>
      </c>
      <c r="Q74" s="13" t="s">
        <v>13</v>
      </c>
      <c r="R74" s="13" t="s">
        <v>302</v>
      </c>
      <c r="S74" s="53">
        <f>VLOOKUP(B74,'Lampiran Segment'!F38:K123,6,0)</f>
        <v>726</v>
      </c>
      <c r="T74" t="str">
        <f>VLOOKUP(B74,[1]List!$B$2:$AM$105,38,0)</f>
        <v>Go</v>
      </c>
    </row>
    <row r="75" spans="1:20">
      <c r="A75" s="13">
        <v>102</v>
      </c>
      <c r="B75" s="14">
        <v>111001109</v>
      </c>
      <c r="C75" s="15" t="s">
        <v>452</v>
      </c>
      <c r="D75" s="34"/>
      <c r="E75" s="16" t="s">
        <v>351</v>
      </c>
      <c r="F75" s="16" t="s">
        <v>358</v>
      </c>
      <c r="G75" s="16" t="s">
        <v>451</v>
      </c>
      <c r="H75" s="16" t="s">
        <v>399</v>
      </c>
      <c r="I75" s="17">
        <v>-6.2116400000000001</v>
      </c>
      <c r="J75" s="17">
        <v>106.90161999999999</v>
      </c>
      <c r="K75" s="13" t="s">
        <v>36</v>
      </c>
      <c r="L75" s="13" t="s">
        <v>371</v>
      </c>
      <c r="M75" s="18" t="s">
        <v>342</v>
      </c>
      <c r="N75" s="13" t="s">
        <v>35</v>
      </c>
      <c r="O75" s="13"/>
      <c r="P75" s="13">
        <v>3</v>
      </c>
      <c r="Q75" s="13" t="s">
        <v>13</v>
      </c>
      <c r="R75" s="13" t="s">
        <v>304</v>
      </c>
      <c r="S75" s="53">
        <f>VLOOKUP(B75,'Lampiran Segment'!F44:K129,6,0)</f>
        <v>826</v>
      </c>
      <c r="T75" t="str">
        <f>VLOOKUP(B75,[1]List!$B$2:$AM$105,38,0)</f>
        <v>Go</v>
      </c>
    </row>
    <row r="76" spans="1:20">
      <c r="A76" s="13">
        <v>103</v>
      </c>
      <c r="B76" s="14">
        <v>111150121</v>
      </c>
      <c r="C76" s="15" t="s">
        <v>453</v>
      </c>
      <c r="D76" s="34"/>
      <c r="E76" s="16" t="s">
        <v>351</v>
      </c>
      <c r="F76" s="16" t="s">
        <v>359</v>
      </c>
      <c r="G76" s="16" t="s">
        <v>454</v>
      </c>
      <c r="H76" s="16" t="s">
        <v>493</v>
      </c>
      <c r="I76" s="17">
        <v>-6.2512699999999999</v>
      </c>
      <c r="J76" s="17">
        <v>106.85673</v>
      </c>
      <c r="K76" s="13" t="s">
        <v>36</v>
      </c>
      <c r="L76" s="13" t="s">
        <v>363</v>
      </c>
      <c r="M76" s="18" t="s">
        <v>345</v>
      </c>
      <c r="N76" s="13" t="s">
        <v>35</v>
      </c>
      <c r="O76" s="13"/>
      <c r="P76" s="13">
        <v>3</v>
      </c>
      <c r="Q76" s="13" t="s">
        <v>13</v>
      </c>
      <c r="R76" s="13" t="s">
        <v>305</v>
      </c>
      <c r="S76" s="53">
        <f>VLOOKUP(B76,'Lampiran Segment'!F45:K130,6,0)</f>
        <v>37</v>
      </c>
      <c r="T76" t="str">
        <f>VLOOKUP(B76,[1]List!$B$2:$AM$105,38,0)</f>
        <v>Go</v>
      </c>
    </row>
    <row r="77" spans="1:20">
      <c r="A77" s="13">
        <v>104</v>
      </c>
      <c r="B77" s="35">
        <v>160435109</v>
      </c>
      <c r="C77" s="36" t="s">
        <v>507</v>
      </c>
      <c r="D77" s="34"/>
      <c r="E77" s="16" t="s">
        <v>4</v>
      </c>
      <c r="F77" s="36" t="s">
        <v>131</v>
      </c>
      <c r="G77" s="36" t="s">
        <v>499</v>
      </c>
      <c r="H77" s="36" t="s">
        <v>508</v>
      </c>
      <c r="I77" s="36">
        <v>-7.2575700000000003</v>
      </c>
      <c r="J77" s="36">
        <v>112.67807999999999</v>
      </c>
      <c r="K77" s="13" t="s">
        <v>36</v>
      </c>
      <c r="L77" s="13" t="s">
        <v>363</v>
      </c>
      <c r="M77" s="38" t="s">
        <v>504</v>
      </c>
      <c r="N77" s="13" t="s">
        <v>35</v>
      </c>
      <c r="O77" s="13"/>
      <c r="P77" s="13">
        <v>3</v>
      </c>
      <c r="Q77" s="13" t="s">
        <v>13</v>
      </c>
      <c r="R77" s="14" t="s">
        <v>495</v>
      </c>
      <c r="S77" s="53">
        <f>VLOOKUP(B77,'Lampiran Segment'!F46:K131,6,0)</f>
        <v>350</v>
      </c>
      <c r="T77" t="str">
        <f>VLOOKUP(B77,[1]List!$B$2:$AM$105,38,0)</f>
        <v>Go</v>
      </c>
    </row>
    <row r="78" spans="1:20">
      <c r="A78" s="13">
        <v>105</v>
      </c>
      <c r="B78" s="35">
        <v>163372126</v>
      </c>
      <c r="C78" s="36" t="s">
        <v>509</v>
      </c>
      <c r="D78" s="34"/>
      <c r="E78" s="16" t="s">
        <v>4</v>
      </c>
      <c r="F78" s="36" t="s">
        <v>500</v>
      </c>
      <c r="G78" s="36" t="s">
        <v>501</v>
      </c>
      <c r="H78" s="36" t="s">
        <v>513</v>
      </c>
      <c r="I78" s="36">
        <v>-7.6333500000000001</v>
      </c>
      <c r="J78" s="36">
        <v>112.91674999999999</v>
      </c>
      <c r="K78" s="13" t="s">
        <v>36</v>
      </c>
      <c r="L78" s="13" t="s">
        <v>363</v>
      </c>
      <c r="M78" s="38" t="s">
        <v>506</v>
      </c>
      <c r="N78" s="13" t="s">
        <v>35</v>
      </c>
      <c r="O78" s="13"/>
      <c r="P78" s="13">
        <v>3</v>
      </c>
      <c r="Q78" s="13" t="s">
        <v>13</v>
      </c>
      <c r="R78" s="35" t="s">
        <v>496</v>
      </c>
      <c r="S78" s="53">
        <f>VLOOKUP(B78,'Lampiran Segment'!F47:K132,6,0)</f>
        <v>1416</v>
      </c>
      <c r="T78" t="str">
        <f>VLOOKUP(B78,[1]List!$B$2:$AM$105,38,0)</f>
        <v>Go</v>
      </c>
    </row>
    <row r="79" spans="1:20">
      <c r="A79" s="13">
        <v>106</v>
      </c>
      <c r="B79" s="35">
        <v>1647992007</v>
      </c>
      <c r="C79" s="36" t="s">
        <v>510</v>
      </c>
      <c r="D79" s="34"/>
      <c r="E79" s="16" t="s">
        <v>4</v>
      </c>
      <c r="F79" s="36" t="s">
        <v>360</v>
      </c>
      <c r="G79" s="36" t="s">
        <v>427</v>
      </c>
      <c r="H79" s="36" t="s">
        <v>512</v>
      </c>
      <c r="I79" s="36">
        <v>-7.4698199999999986</v>
      </c>
      <c r="J79" s="36">
        <v>112.43228999999999</v>
      </c>
      <c r="K79" s="13" t="s">
        <v>36</v>
      </c>
      <c r="L79" s="13" t="s">
        <v>371</v>
      </c>
      <c r="M79" s="38" t="s">
        <v>326</v>
      </c>
      <c r="N79" s="13" t="s">
        <v>35</v>
      </c>
      <c r="O79" s="13"/>
      <c r="P79" s="13">
        <v>3</v>
      </c>
      <c r="Q79" s="13" t="s">
        <v>13</v>
      </c>
      <c r="R79" s="35" t="s">
        <v>497</v>
      </c>
      <c r="S79" s="53">
        <f>VLOOKUP(B79,'Lampiran Segment'!F48:K133,6,0)</f>
        <v>304</v>
      </c>
      <c r="T79" t="str">
        <f>VLOOKUP(B79,[1]List!$B$2:$AM$105,38,0)</f>
        <v>Go</v>
      </c>
    </row>
    <row r="80" spans="1:20">
      <c r="A80" s="13">
        <v>107</v>
      </c>
      <c r="B80" s="35">
        <v>1647682003</v>
      </c>
      <c r="C80" s="36" t="s">
        <v>511</v>
      </c>
      <c r="D80" s="34"/>
      <c r="E80" s="16" t="s">
        <v>4</v>
      </c>
      <c r="F80" s="36" t="s">
        <v>502</v>
      </c>
      <c r="G80" s="36" t="s">
        <v>503</v>
      </c>
      <c r="H80" s="36" t="s">
        <v>505</v>
      </c>
      <c r="I80" s="36">
        <v>-7.1103699999999987</v>
      </c>
      <c r="J80" s="36">
        <v>112.17064999999999</v>
      </c>
      <c r="K80" s="13" t="s">
        <v>36</v>
      </c>
      <c r="L80" s="13" t="s">
        <v>363</v>
      </c>
      <c r="M80" s="38" t="s">
        <v>505</v>
      </c>
      <c r="N80" s="13" t="s">
        <v>35</v>
      </c>
      <c r="O80" s="13"/>
      <c r="P80" s="13">
        <v>3</v>
      </c>
      <c r="Q80" s="13" t="s">
        <v>13</v>
      </c>
      <c r="R80" s="35" t="s">
        <v>498</v>
      </c>
      <c r="S80" s="53">
        <f>VLOOKUP(B80,'Lampiran Segment'!F49:K134,6,0)</f>
        <v>913</v>
      </c>
      <c r="T80" t="str">
        <f>VLOOKUP(B80,[1]List!$B$2:$AM$105,38,0)</f>
        <v>Go</v>
      </c>
    </row>
  </sheetData>
  <autoFilter ref="A3:T80" xr:uid="{EA6C7F6E-F0A9-4BD9-BBDA-FCE09738A223}"/>
  <mergeCells count="1">
    <mergeCell ref="A2:Q2"/>
  </mergeCells>
  <pageMargins left="0.7" right="0.7" top="0.75" bottom="0.75" header="0.3" footer="0.3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V78"/>
  <sheetViews>
    <sheetView zoomScale="85" zoomScaleNormal="85" workbookViewId="0">
      <selection activeCell="D93" sqref="D93"/>
    </sheetView>
  </sheetViews>
  <sheetFormatPr defaultColWidth="8.5703125" defaultRowHeight="15"/>
  <cols>
    <col min="1" max="1" width="9.7109375" customWidth="1"/>
    <col min="2" max="2" width="35.140625" customWidth="1"/>
    <col min="3" max="3" width="23.7109375" style="1" customWidth="1"/>
    <col min="4" max="4" width="14.5703125" customWidth="1"/>
    <col min="5" max="5" width="12.85546875" customWidth="1"/>
    <col min="6" max="6" width="17.28515625" style="2" customWidth="1"/>
    <col min="7" max="7" width="14.42578125" customWidth="1"/>
    <col min="8" max="8" width="12.85546875" customWidth="1"/>
    <col min="9" max="9" width="29.7109375" customWidth="1"/>
    <col min="10" max="10" width="17" customWidth="1"/>
    <col min="11" max="11" width="13.28515625" customWidth="1"/>
    <col min="12" max="12" width="23.7109375" customWidth="1"/>
    <col min="13" max="13" width="25" customWidth="1"/>
    <col min="14" max="14" width="16.140625" customWidth="1"/>
    <col min="15" max="16" width="18.140625" customWidth="1"/>
    <col min="17" max="17" width="15.42578125" hidden="1" customWidth="1"/>
    <col min="18" max="18" width="15.42578125" customWidth="1"/>
    <col min="19" max="19" width="28.28515625" bestFit="1" customWidth="1"/>
    <col min="20" max="20" width="13.5703125" style="2" customWidth="1"/>
  </cols>
  <sheetData>
    <row r="1" spans="1:22">
      <c r="A1" s="3" t="s">
        <v>144</v>
      </c>
      <c r="B1" s="3" t="s">
        <v>145</v>
      </c>
      <c r="C1" s="4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8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347</v>
      </c>
      <c r="S1" s="3" t="s">
        <v>161</v>
      </c>
      <c r="T1" s="3" t="s">
        <v>162</v>
      </c>
      <c r="U1" s="50" t="s">
        <v>522</v>
      </c>
    </row>
    <row r="2" spans="1:22" hidden="1">
      <c r="A2" s="5">
        <v>1</v>
      </c>
      <c r="B2" s="6" t="s">
        <v>164</v>
      </c>
      <c r="C2" s="7" t="s">
        <v>41</v>
      </c>
      <c r="D2" s="7">
        <v>106.055117</v>
      </c>
      <c r="E2" s="7">
        <v>-6.0204560000000003</v>
      </c>
      <c r="F2" s="6" t="s">
        <v>306</v>
      </c>
      <c r="G2" s="7">
        <v>106.05249999999999</v>
      </c>
      <c r="H2" s="7">
        <v>-6.0173889999999997</v>
      </c>
      <c r="I2" s="6" t="s">
        <v>235</v>
      </c>
      <c r="J2" s="33" t="s">
        <v>13</v>
      </c>
      <c r="K2" s="9">
        <v>736</v>
      </c>
      <c r="L2" s="6" t="s">
        <v>523</v>
      </c>
      <c r="M2" s="32" t="s">
        <v>524</v>
      </c>
      <c r="N2" s="6" t="s">
        <v>35</v>
      </c>
      <c r="O2" s="43" t="s">
        <v>659</v>
      </c>
      <c r="P2" s="43" t="s">
        <v>660</v>
      </c>
      <c r="Q2" s="10"/>
      <c r="R2" s="10" t="s">
        <v>348</v>
      </c>
      <c r="S2" s="6" t="s">
        <v>37</v>
      </c>
      <c r="T2" s="5"/>
      <c r="U2" t="str">
        <f>VLOOKUP(F2,'Lampiran Site'!$B$3:$T$80,19,0)</f>
        <v>Go</v>
      </c>
      <c r="V2" t="e">
        <f>VLOOKUP(C2,'Lampiran Site'!$B$3:$B$80,1,0)</f>
        <v>#N/A</v>
      </c>
    </row>
    <row r="3" spans="1:22" hidden="1">
      <c r="A3" s="5">
        <v>2</v>
      </c>
      <c r="B3" s="6" t="s">
        <v>165</v>
      </c>
      <c r="C3" s="7" t="s">
        <v>307</v>
      </c>
      <c r="D3" s="7">
        <v>106.1515</v>
      </c>
      <c r="E3" s="7">
        <v>-6.1164440000000004</v>
      </c>
      <c r="F3" s="6" t="s">
        <v>45</v>
      </c>
      <c r="G3" s="7">
        <v>106.159898</v>
      </c>
      <c r="H3" s="7">
        <v>-6.1154599999999997</v>
      </c>
      <c r="I3" s="6" t="s">
        <v>236</v>
      </c>
      <c r="J3" s="33" t="s">
        <v>13</v>
      </c>
      <c r="K3" s="9">
        <v>1751</v>
      </c>
      <c r="L3" s="6" t="s">
        <v>525</v>
      </c>
      <c r="M3" s="32" t="s">
        <v>526</v>
      </c>
      <c r="N3" s="6" t="s">
        <v>35</v>
      </c>
      <c r="O3" s="43" t="s">
        <v>660</v>
      </c>
      <c r="P3" s="43" t="s">
        <v>661</v>
      </c>
      <c r="Q3" s="10"/>
      <c r="R3" s="10" t="s">
        <v>348</v>
      </c>
      <c r="S3" s="6" t="s">
        <v>42</v>
      </c>
      <c r="T3" s="5"/>
      <c r="U3" t="str">
        <f>VLOOKUP(C3,'Lampiran Site'!$B$3:$T$80,19,0)</f>
        <v>Go</v>
      </c>
    </row>
    <row r="4" spans="1:22" hidden="1">
      <c r="A4" s="5">
        <v>3</v>
      </c>
      <c r="B4" s="6" t="s">
        <v>166</v>
      </c>
      <c r="C4" s="7" t="s">
        <v>45</v>
      </c>
      <c r="D4" s="7">
        <v>106.159898</v>
      </c>
      <c r="E4" s="7">
        <v>-6.1154599999999997</v>
      </c>
      <c r="F4" s="6">
        <v>1321162007</v>
      </c>
      <c r="G4" s="7">
        <v>106.16200000000001</v>
      </c>
      <c r="H4" s="7">
        <v>-6.1163600000000002</v>
      </c>
      <c r="I4" s="6" t="s">
        <v>237</v>
      </c>
      <c r="J4" s="33" t="s">
        <v>13</v>
      </c>
      <c r="K4" s="9">
        <v>445</v>
      </c>
      <c r="L4" s="6" t="s">
        <v>525</v>
      </c>
      <c r="M4" s="32" t="s">
        <v>527</v>
      </c>
      <c r="N4" s="6" t="s">
        <v>35</v>
      </c>
      <c r="O4" s="43" t="s">
        <v>659</v>
      </c>
      <c r="P4" s="43" t="s">
        <v>660</v>
      </c>
      <c r="Q4" s="10"/>
      <c r="R4" s="10" t="s">
        <v>348</v>
      </c>
      <c r="S4" s="6" t="s">
        <v>42</v>
      </c>
      <c r="T4" s="5"/>
      <c r="U4" t="str">
        <f>VLOOKUP(F4,'Lampiran Site'!$B$3:$T$80,19,0)</f>
        <v>Go</v>
      </c>
    </row>
    <row r="5" spans="1:22" hidden="1">
      <c r="A5" s="5">
        <v>4</v>
      </c>
      <c r="B5" s="6" t="s">
        <v>167</v>
      </c>
      <c r="C5" s="7" t="s">
        <v>45</v>
      </c>
      <c r="D5" s="7">
        <v>106.159898</v>
      </c>
      <c r="E5" s="7">
        <v>-6.1154599999999997</v>
      </c>
      <c r="F5" s="6">
        <v>130176110</v>
      </c>
      <c r="G5" s="7">
        <v>106.15985999999999</v>
      </c>
      <c r="H5" s="7">
        <v>-6.1255899999999999</v>
      </c>
      <c r="I5" s="6" t="s">
        <v>238</v>
      </c>
      <c r="J5" s="33" t="s">
        <v>13</v>
      </c>
      <c r="K5" s="9">
        <v>1891</v>
      </c>
      <c r="L5" s="6" t="s">
        <v>528</v>
      </c>
      <c r="M5" s="32" t="s">
        <v>529</v>
      </c>
      <c r="N5" s="6" t="s">
        <v>35</v>
      </c>
      <c r="O5" s="43" t="s">
        <v>659</v>
      </c>
      <c r="P5" s="43" t="s">
        <v>660</v>
      </c>
      <c r="Q5" s="10"/>
      <c r="R5" s="10" t="s">
        <v>348</v>
      </c>
      <c r="S5" s="6" t="s">
        <v>42</v>
      </c>
      <c r="T5" s="5"/>
      <c r="U5" t="str">
        <f>VLOOKUP(F5,'Lampiran Site'!$B$3:$T$80,19,0)</f>
        <v>Go</v>
      </c>
    </row>
    <row r="6" spans="1:22" hidden="1">
      <c r="A6" s="5">
        <v>5</v>
      </c>
      <c r="B6" s="33" t="s">
        <v>346</v>
      </c>
      <c r="C6" s="6" t="s">
        <v>308</v>
      </c>
      <c r="D6" s="7">
        <v>106.3231</v>
      </c>
      <c r="E6" s="7">
        <v>-6.34117</v>
      </c>
      <c r="F6" s="9" t="s">
        <v>34</v>
      </c>
      <c r="G6" s="6">
        <v>106.25149999999999</v>
      </c>
      <c r="H6" s="6">
        <v>-6.3527129999999996</v>
      </c>
      <c r="I6" s="6" t="s">
        <v>239</v>
      </c>
      <c r="J6" s="33" t="s">
        <v>13</v>
      </c>
      <c r="K6" s="9">
        <v>2085.6</v>
      </c>
      <c r="L6" s="6" t="s">
        <v>530</v>
      </c>
      <c r="M6" s="32" t="s">
        <v>531</v>
      </c>
      <c r="N6" s="6" t="s">
        <v>35</v>
      </c>
      <c r="O6" s="43" t="s">
        <v>660</v>
      </c>
      <c r="P6" s="43" t="s">
        <v>661</v>
      </c>
      <c r="Q6" s="10"/>
      <c r="R6" s="10" t="s">
        <v>348</v>
      </c>
      <c r="S6" s="6" t="s">
        <v>32</v>
      </c>
      <c r="T6" s="5"/>
      <c r="U6" t="str">
        <f>VLOOKUP(C6,'Lampiran Site'!$B$3:$T$80,19,0)</f>
        <v>Go</v>
      </c>
    </row>
    <row r="7" spans="1:22" hidden="1">
      <c r="A7" s="5">
        <v>6</v>
      </c>
      <c r="B7" s="6" t="s">
        <v>168</v>
      </c>
      <c r="C7" s="7">
        <v>130218104</v>
      </c>
      <c r="D7" s="7">
        <v>106.39772000000001</v>
      </c>
      <c r="E7" s="7">
        <v>-6.3422999999999998</v>
      </c>
      <c r="F7" s="6" t="s">
        <v>134</v>
      </c>
      <c r="G7" s="7">
        <v>106.394493</v>
      </c>
      <c r="H7" s="7">
        <v>-6.3317480000000002</v>
      </c>
      <c r="I7" s="6" t="s">
        <v>240</v>
      </c>
      <c r="J7" s="33" t="s">
        <v>13</v>
      </c>
      <c r="K7" s="9">
        <v>3128</v>
      </c>
      <c r="L7" s="6" t="s">
        <v>532</v>
      </c>
      <c r="M7" s="32" t="s">
        <v>533</v>
      </c>
      <c r="N7" s="6" t="s">
        <v>35</v>
      </c>
      <c r="O7" s="43" t="s">
        <v>660</v>
      </c>
      <c r="P7" s="43" t="s">
        <v>661</v>
      </c>
      <c r="Q7" s="10"/>
      <c r="R7" s="10" t="s">
        <v>348</v>
      </c>
      <c r="S7" s="6" t="s">
        <v>32</v>
      </c>
      <c r="T7" s="5"/>
      <c r="U7" t="str">
        <f>VLOOKUP(C7,'Lampiran Site'!$B$3:$T$80,19,0)</f>
        <v>Go</v>
      </c>
    </row>
    <row r="8" spans="1:22" hidden="1">
      <c r="A8" s="5">
        <v>7</v>
      </c>
      <c r="B8" s="6" t="s">
        <v>169</v>
      </c>
      <c r="C8" s="7" t="s">
        <v>309</v>
      </c>
      <c r="D8" s="7">
        <v>106.33108300000001</v>
      </c>
      <c r="E8" s="7">
        <v>-6.3353250000000001</v>
      </c>
      <c r="F8" s="6">
        <v>1323011003</v>
      </c>
      <c r="G8" s="7">
        <v>106.33747200000001</v>
      </c>
      <c r="H8" s="7">
        <v>-6.3289999999999997</v>
      </c>
      <c r="I8" s="6" t="s">
        <v>241</v>
      </c>
      <c r="J8" s="33" t="s">
        <v>13</v>
      </c>
      <c r="K8" s="9">
        <v>1370</v>
      </c>
      <c r="L8" s="6" t="s">
        <v>532</v>
      </c>
      <c r="M8" s="32" t="s">
        <v>534</v>
      </c>
      <c r="N8" s="6" t="s">
        <v>35</v>
      </c>
      <c r="O8" s="43" t="s">
        <v>659</v>
      </c>
      <c r="P8" s="43" t="s">
        <v>660</v>
      </c>
      <c r="Q8" s="10"/>
      <c r="R8" s="10" t="s">
        <v>348</v>
      </c>
      <c r="S8" s="6" t="s">
        <v>352</v>
      </c>
      <c r="T8" s="5"/>
      <c r="U8" t="str">
        <f>VLOOKUP(F8,'Lampiran Site'!$B$3:$T$80,19,0)</f>
        <v>Go</v>
      </c>
    </row>
    <row r="9" spans="1:22" hidden="1">
      <c r="A9" s="5">
        <v>8</v>
      </c>
      <c r="B9" s="6" t="s">
        <v>170</v>
      </c>
      <c r="C9" s="7" t="s">
        <v>310</v>
      </c>
      <c r="D9" s="7">
        <v>106.677226</v>
      </c>
      <c r="E9" s="7">
        <v>-6.3143659999999997</v>
      </c>
      <c r="F9" s="6" t="s">
        <v>311</v>
      </c>
      <c r="G9" s="7">
        <v>106.68326</v>
      </c>
      <c r="H9" s="7">
        <v>-6.3075400000000004</v>
      </c>
      <c r="I9" s="6" t="s">
        <v>242</v>
      </c>
      <c r="J9" s="33" t="s">
        <v>13</v>
      </c>
      <c r="K9" s="9">
        <v>1567</v>
      </c>
      <c r="L9" s="6" t="s">
        <v>535</v>
      </c>
      <c r="M9" s="32" t="s">
        <v>536</v>
      </c>
      <c r="N9" s="6" t="s">
        <v>35</v>
      </c>
      <c r="O9" s="43" t="s">
        <v>659</v>
      </c>
      <c r="P9" s="43" t="s">
        <v>660</v>
      </c>
      <c r="Q9" s="10"/>
      <c r="R9" s="10" t="s">
        <v>348</v>
      </c>
      <c r="S9" s="6" t="s">
        <v>353</v>
      </c>
      <c r="T9" s="5"/>
      <c r="U9" t="str">
        <f>VLOOKUP(F9,'Lampiran Site'!$B$3:$T$80,19,0)</f>
        <v>Go</v>
      </c>
    </row>
    <row r="10" spans="1:22" hidden="1">
      <c r="A10" s="5">
        <v>9</v>
      </c>
      <c r="B10" s="6" t="s">
        <v>171</v>
      </c>
      <c r="C10" s="7" t="s">
        <v>312</v>
      </c>
      <c r="D10" s="7">
        <v>106.711302</v>
      </c>
      <c r="E10" s="7">
        <v>-6.2976910000000004</v>
      </c>
      <c r="F10" s="6">
        <v>1303981004</v>
      </c>
      <c r="G10" s="7">
        <v>106.71478</v>
      </c>
      <c r="H10" s="7">
        <v>-6.2958100000000004</v>
      </c>
      <c r="I10" s="6" t="s">
        <v>243</v>
      </c>
      <c r="J10" s="33" t="s">
        <v>13</v>
      </c>
      <c r="K10" s="9">
        <v>810</v>
      </c>
      <c r="L10" s="6" t="s">
        <v>537</v>
      </c>
      <c r="M10" s="32" t="s">
        <v>538</v>
      </c>
      <c r="N10" s="6" t="s">
        <v>35</v>
      </c>
      <c r="O10" s="43" t="s">
        <v>659</v>
      </c>
      <c r="P10" s="43" t="s">
        <v>660</v>
      </c>
      <c r="Q10" s="10"/>
      <c r="R10" s="10" t="s">
        <v>348</v>
      </c>
      <c r="S10" s="6" t="s">
        <v>353</v>
      </c>
      <c r="T10" s="5"/>
      <c r="U10" t="str">
        <f>VLOOKUP(F10,'Lampiran Site'!$B$3:$T$80,19,0)</f>
        <v>Go</v>
      </c>
    </row>
    <row r="11" spans="1:22" hidden="1">
      <c r="A11" s="5">
        <v>11</v>
      </c>
      <c r="B11" s="6" t="s">
        <v>172</v>
      </c>
      <c r="C11" s="7">
        <v>131098126</v>
      </c>
      <c r="D11" s="7">
        <v>106.74471</v>
      </c>
      <c r="E11" s="7">
        <v>-6.2736200000000002</v>
      </c>
      <c r="F11" s="6" t="s">
        <v>313</v>
      </c>
      <c r="G11" s="7">
        <v>106.74548799999999</v>
      </c>
      <c r="H11" s="7">
        <v>-6.2759980000000004</v>
      </c>
      <c r="I11" s="6" t="s">
        <v>244</v>
      </c>
      <c r="J11" s="33" t="s">
        <v>13</v>
      </c>
      <c r="K11" s="9">
        <v>374</v>
      </c>
      <c r="L11" s="6" t="s">
        <v>539</v>
      </c>
      <c r="M11" s="32" t="s">
        <v>540</v>
      </c>
      <c r="N11" s="6" t="s">
        <v>35</v>
      </c>
      <c r="O11" s="43" t="s">
        <v>660</v>
      </c>
      <c r="P11" s="43" t="s">
        <v>661</v>
      </c>
      <c r="Q11" s="10"/>
      <c r="R11" s="10" t="s">
        <v>348</v>
      </c>
      <c r="S11" s="6" t="s">
        <v>353</v>
      </c>
      <c r="T11" s="5"/>
      <c r="U11" t="str">
        <f>VLOOKUP(C11,'Lampiran Site'!$B$3:$T$80,19,0)</f>
        <v>Go</v>
      </c>
    </row>
    <row r="12" spans="1:22" hidden="1">
      <c r="A12" s="5">
        <v>13</v>
      </c>
      <c r="B12" s="6" t="s">
        <v>173</v>
      </c>
      <c r="C12" s="7">
        <v>121015104</v>
      </c>
      <c r="D12" s="6">
        <v>-6.7186899999999996</v>
      </c>
      <c r="E12" s="6">
        <v>108.559</v>
      </c>
      <c r="F12" s="6" t="s">
        <v>87</v>
      </c>
      <c r="G12" s="6">
        <v>108.558802</v>
      </c>
      <c r="H12" s="6">
        <v>-6.7193529999999999</v>
      </c>
      <c r="I12" s="6" t="s">
        <v>245</v>
      </c>
      <c r="J12" s="33" t="s">
        <v>13</v>
      </c>
      <c r="K12" s="9">
        <v>452</v>
      </c>
      <c r="L12" s="6" t="s">
        <v>541</v>
      </c>
      <c r="M12" s="32" t="s">
        <v>542</v>
      </c>
      <c r="N12" s="6" t="s">
        <v>35</v>
      </c>
      <c r="O12" s="43" t="s">
        <v>660</v>
      </c>
      <c r="P12" s="43" t="s">
        <v>661</v>
      </c>
      <c r="Q12" s="10"/>
      <c r="R12" s="10" t="s">
        <v>2</v>
      </c>
      <c r="S12" s="6" t="s">
        <v>86</v>
      </c>
      <c r="T12" s="5"/>
      <c r="U12" t="str">
        <f>VLOOKUP(C12,'Lampiran Site'!$B$3:$T$80,19,0)</f>
        <v>Go</v>
      </c>
    </row>
    <row r="13" spans="1:22" hidden="1">
      <c r="A13" s="5">
        <v>14</v>
      </c>
      <c r="B13" s="6" t="s">
        <v>174</v>
      </c>
      <c r="C13" s="7">
        <v>122492110</v>
      </c>
      <c r="D13" s="6">
        <v>-6.4116099999999996</v>
      </c>
      <c r="E13" s="6">
        <v>107.575</v>
      </c>
      <c r="F13" s="6" t="s">
        <v>137</v>
      </c>
      <c r="G13" s="6">
        <v>107.584062</v>
      </c>
      <c r="H13" s="6">
        <v>-6.4092849999999997</v>
      </c>
      <c r="I13" s="6" t="s">
        <v>246</v>
      </c>
      <c r="J13" s="33" t="s">
        <v>13</v>
      </c>
      <c r="K13" s="9">
        <v>1889</v>
      </c>
      <c r="L13" s="6" t="s">
        <v>543</v>
      </c>
      <c r="M13" s="32" t="s">
        <v>544</v>
      </c>
      <c r="N13" s="6" t="s">
        <v>35</v>
      </c>
      <c r="O13" s="43" t="s">
        <v>660</v>
      </c>
      <c r="P13" s="43" t="s">
        <v>661</v>
      </c>
      <c r="Q13" s="10"/>
      <c r="R13" s="10" t="s">
        <v>2</v>
      </c>
      <c r="S13" s="6" t="s">
        <v>136</v>
      </c>
      <c r="T13" s="5"/>
      <c r="U13" t="str">
        <f>VLOOKUP(C13,'Lampiran Site'!$B$3:$T$80,19,0)</f>
        <v>Go</v>
      </c>
    </row>
    <row r="14" spans="1:22" hidden="1">
      <c r="A14" s="5">
        <v>15</v>
      </c>
      <c r="B14" s="6" t="s">
        <v>175</v>
      </c>
      <c r="C14" s="7" t="s">
        <v>84</v>
      </c>
      <c r="D14" s="6">
        <v>108.542441</v>
      </c>
      <c r="E14" s="6">
        <v>-7.376347</v>
      </c>
      <c r="F14" s="6">
        <v>122861109</v>
      </c>
      <c r="G14" s="6">
        <v>-7.3801800000000002</v>
      </c>
      <c r="H14" s="6">
        <v>108.54300000000001</v>
      </c>
      <c r="I14" s="6" t="s">
        <v>247</v>
      </c>
      <c r="J14" s="33" t="s">
        <v>13</v>
      </c>
      <c r="K14" s="9">
        <v>802</v>
      </c>
      <c r="L14" s="6" t="s">
        <v>545</v>
      </c>
      <c r="M14" s="32" t="s">
        <v>546</v>
      </c>
      <c r="N14" s="6" t="s">
        <v>35</v>
      </c>
      <c r="O14" s="43" t="s">
        <v>659</v>
      </c>
      <c r="P14" s="43" t="s">
        <v>660</v>
      </c>
      <c r="Q14" s="10"/>
      <c r="R14" s="10" t="s">
        <v>2</v>
      </c>
      <c r="S14" s="6" t="s">
        <v>81</v>
      </c>
      <c r="T14" s="5"/>
      <c r="U14" t="str">
        <f>VLOOKUP(F14,'Lampiran Site'!$B$3:$T$80,19,0)</f>
        <v>Go</v>
      </c>
    </row>
    <row r="15" spans="1:22" hidden="1">
      <c r="A15" s="5">
        <v>16</v>
      </c>
      <c r="B15" s="6" t="s">
        <v>176</v>
      </c>
      <c r="C15" s="7">
        <v>120851104</v>
      </c>
      <c r="D15" s="6">
        <v>-7.3776700000000002</v>
      </c>
      <c r="E15" s="6">
        <v>108.53700000000001</v>
      </c>
      <c r="F15" s="6" t="s">
        <v>84</v>
      </c>
      <c r="G15" s="6">
        <v>108.542441</v>
      </c>
      <c r="H15" s="6">
        <v>-7.376347</v>
      </c>
      <c r="I15" s="6" t="s">
        <v>248</v>
      </c>
      <c r="J15" s="33" t="s">
        <v>13</v>
      </c>
      <c r="K15" s="9">
        <v>657</v>
      </c>
      <c r="L15" s="6" t="s">
        <v>547</v>
      </c>
      <c r="M15" s="32" t="s">
        <v>548</v>
      </c>
      <c r="N15" s="6" t="s">
        <v>35</v>
      </c>
      <c r="O15" s="43" t="s">
        <v>660</v>
      </c>
      <c r="P15" s="43" t="s">
        <v>661</v>
      </c>
      <c r="Q15" s="10"/>
      <c r="R15" s="10" t="s">
        <v>2</v>
      </c>
      <c r="S15" s="6" t="s">
        <v>81</v>
      </c>
      <c r="T15" s="5"/>
      <c r="U15" t="str">
        <f>VLOOKUP(C15,'Lampiran Site'!$B$3:$T$80,19,0)</f>
        <v>Go</v>
      </c>
    </row>
    <row r="16" spans="1:22" hidden="1">
      <c r="A16" s="5">
        <v>17</v>
      </c>
      <c r="B16" s="6" t="s">
        <v>177</v>
      </c>
      <c r="C16" s="7" t="s">
        <v>314</v>
      </c>
      <c r="D16" s="6">
        <v>107.95828299999999</v>
      </c>
      <c r="E16" s="6">
        <v>-7.1034360000000003</v>
      </c>
      <c r="F16" s="6">
        <v>121075104</v>
      </c>
      <c r="G16" s="6">
        <v>-7.0994099999999998</v>
      </c>
      <c r="H16" s="6">
        <v>107.958</v>
      </c>
      <c r="I16" s="6" t="s">
        <v>249</v>
      </c>
      <c r="J16" s="33" t="s">
        <v>13</v>
      </c>
      <c r="K16" s="9">
        <v>664</v>
      </c>
      <c r="L16" s="6" t="s">
        <v>549</v>
      </c>
      <c r="M16" s="32" t="s">
        <v>550</v>
      </c>
      <c r="N16" s="6" t="s">
        <v>35</v>
      </c>
      <c r="O16" s="43" t="s">
        <v>659</v>
      </c>
      <c r="P16" s="43" t="s">
        <v>660</v>
      </c>
      <c r="Q16" s="10"/>
      <c r="R16" s="10" t="s">
        <v>2</v>
      </c>
      <c r="S16" s="6" t="s">
        <v>62</v>
      </c>
      <c r="T16" s="5"/>
      <c r="U16" t="str">
        <f>VLOOKUP(F16,'Lampiran Site'!$B$3:$T$80,19,0)</f>
        <v>Go</v>
      </c>
    </row>
    <row r="17" spans="1:21" hidden="1">
      <c r="A17" s="5">
        <v>18</v>
      </c>
      <c r="B17" s="6" t="s">
        <v>178</v>
      </c>
      <c r="C17" s="7">
        <v>120465109</v>
      </c>
      <c r="D17" s="6">
        <v>-7.2074100000000003</v>
      </c>
      <c r="E17" s="6">
        <v>107.91</v>
      </c>
      <c r="F17" s="6" t="s">
        <v>63</v>
      </c>
      <c r="G17" s="6">
        <v>107.90357899999999</v>
      </c>
      <c r="H17" s="6">
        <v>-7.2135189999999998</v>
      </c>
      <c r="I17" s="6" t="s">
        <v>250</v>
      </c>
      <c r="J17" s="33" t="s">
        <v>13</v>
      </c>
      <c r="K17" s="9">
        <v>1312</v>
      </c>
      <c r="L17" s="6" t="s">
        <v>551</v>
      </c>
      <c r="M17" s="32" t="s">
        <v>552</v>
      </c>
      <c r="N17" s="6" t="s">
        <v>35</v>
      </c>
      <c r="O17" s="43" t="s">
        <v>660</v>
      </c>
      <c r="P17" s="43" t="s">
        <v>661</v>
      </c>
      <c r="Q17" s="10"/>
      <c r="R17" s="10" t="s">
        <v>2</v>
      </c>
      <c r="S17" s="6" t="s">
        <v>62</v>
      </c>
      <c r="T17" s="5"/>
      <c r="U17" t="str">
        <f>VLOOKUP(C17,'Lampiran Site'!$B$3:$T$80,19,0)</f>
        <v>Go</v>
      </c>
    </row>
    <row r="18" spans="1:21" hidden="1">
      <c r="A18" s="5">
        <v>19</v>
      </c>
      <c r="B18" s="6" t="s">
        <v>179</v>
      </c>
      <c r="C18" s="7">
        <v>122876109</v>
      </c>
      <c r="D18" s="6">
        <v>-7.2139800000000003</v>
      </c>
      <c r="E18" s="6">
        <v>107.905</v>
      </c>
      <c r="F18" s="6" t="s">
        <v>63</v>
      </c>
      <c r="G18" s="6">
        <v>107.90357899999999</v>
      </c>
      <c r="H18" s="6">
        <v>-7.2135189999999998</v>
      </c>
      <c r="I18" s="6" t="s">
        <v>251</v>
      </c>
      <c r="J18" s="33" t="s">
        <v>13</v>
      </c>
      <c r="K18" s="9">
        <v>119</v>
      </c>
      <c r="L18" s="6" t="s">
        <v>551</v>
      </c>
      <c r="M18" s="32" t="s">
        <v>553</v>
      </c>
      <c r="N18" s="6" t="s">
        <v>35</v>
      </c>
      <c r="O18" s="43" t="s">
        <v>660</v>
      </c>
      <c r="P18" s="43" t="s">
        <v>661</v>
      </c>
      <c r="Q18" s="10"/>
      <c r="R18" s="10" t="s">
        <v>2</v>
      </c>
      <c r="S18" s="6" t="s">
        <v>62</v>
      </c>
      <c r="T18" s="5"/>
      <c r="U18" t="str">
        <f>VLOOKUP(C18,'Lampiran Site'!$B$3:$T$80,19,0)</f>
        <v>Go</v>
      </c>
    </row>
    <row r="19" spans="1:21" hidden="1">
      <c r="A19" s="5">
        <v>20</v>
      </c>
      <c r="B19" s="6" t="s">
        <v>180</v>
      </c>
      <c r="C19" s="7">
        <v>121272104</v>
      </c>
      <c r="D19" s="6">
        <v>-6.9858099999999999</v>
      </c>
      <c r="E19" s="6">
        <v>107.833</v>
      </c>
      <c r="F19" s="6" t="s">
        <v>78</v>
      </c>
      <c r="G19" s="6">
        <v>107.83283400000001</v>
      </c>
      <c r="H19" s="6">
        <v>-6.9816140000000004</v>
      </c>
      <c r="I19" s="6" t="s">
        <v>252</v>
      </c>
      <c r="J19" s="33" t="s">
        <v>13</v>
      </c>
      <c r="K19" s="9">
        <v>1146</v>
      </c>
      <c r="L19" s="6" t="s">
        <v>554</v>
      </c>
      <c r="M19" s="32" t="s">
        <v>555</v>
      </c>
      <c r="N19" s="6" t="s">
        <v>35</v>
      </c>
      <c r="O19" s="43" t="s">
        <v>660</v>
      </c>
      <c r="P19" s="43" t="s">
        <v>661</v>
      </c>
      <c r="Q19" s="10"/>
      <c r="R19" s="10" t="s">
        <v>2</v>
      </c>
      <c r="S19" s="6" t="s">
        <v>74</v>
      </c>
      <c r="T19" s="5"/>
      <c r="U19" t="str">
        <f>VLOOKUP(C19,'Lampiran Site'!$B$3:$T$80,19,0)</f>
        <v>Go</v>
      </c>
    </row>
    <row r="20" spans="1:21" hidden="1">
      <c r="A20" s="5">
        <v>21</v>
      </c>
      <c r="B20" s="6" t="s">
        <v>181</v>
      </c>
      <c r="C20" s="7">
        <v>121327104</v>
      </c>
      <c r="D20" s="6">
        <v>-6.98902</v>
      </c>
      <c r="E20" s="6">
        <v>107.79900000000001</v>
      </c>
      <c r="F20" s="6" t="s">
        <v>76</v>
      </c>
      <c r="G20" s="6">
        <v>107.799869</v>
      </c>
      <c r="H20" s="6">
        <v>-6.9807499999999996</v>
      </c>
      <c r="I20" s="6" t="s">
        <v>253</v>
      </c>
      <c r="J20" s="33" t="s">
        <v>13</v>
      </c>
      <c r="K20" s="9">
        <v>1147</v>
      </c>
      <c r="L20" s="6" t="s">
        <v>556</v>
      </c>
      <c r="M20" s="32" t="s">
        <v>557</v>
      </c>
      <c r="N20" s="6" t="s">
        <v>35</v>
      </c>
      <c r="O20" s="43" t="s">
        <v>660</v>
      </c>
      <c r="P20" s="43" t="s">
        <v>661</v>
      </c>
      <c r="Q20" s="10"/>
      <c r="R20" s="10" t="s">
        <v>2</v>
      </c>
      <c r="S20" s="6" t="s">
        <v>74</v>
      </c>
      <c r="T20" s="5"/>
      <c r="U20" t="str">
        <f>VLOOKUP(C20,'Lampiran Site'!$B$3:$T$80,19,0)</f>
        <v>Go</v>
      </c>
    </row>
    <row r="21" spans="1:21" hidden="1">
      <c r="A21" s="5">
        <v>22</v>
      </c>
      <c r="B21" s="6" t="s">
        <v>182</v>
      </c>
      <c r="C21" s="7" t="s">
        <v>315</v>
      </c>
      <c r="D21" s="6">
        <v>107.755748</v>
      </c>
      <c r="E21" s="6">
        <v>-6.9647290000000002</v>
      </c>
      <c r="F21" s="6">
        <v>124714126</v>
      </c>
      <c r="G21" s="6">
        <v>-6.9598100000000001</v>
      </c>
      <c r="H21" s="6">
        <v>107.761</v>
      </c>
      <c r="I21" s="6" t="s">
        <v>254</v>
      </c>
      <c r="J21" s="33" t="s">
        <v>13</v>
      </c>
      <c r="K21" s="9">
        <v>1415</v>
      </c>
      <c r="L21" s="6" t="s">
        <v>556</v>
      </c>
      <c r="M21" s="32" t="s">
        <v>558</v>
      </c>
      <c r="N21" s="6" t="s">
        <v>35</v>
      </c>
      <c r="O21" s="43" t="s">
        <v>659</v>
      </c>
      <c r="P21" s="43" t="s">
        <v>660</v>
      </c>
      <c r="Q21" s="10"/>
      <c r="R21" s="10" t="s">
        <v>2</v>
      </c>
      <c r="S21" s="6" t="s">
        <v>74</v>
      </c>
      <c r="T21" s="5"/>
      <c r="U21" t="str">
        <f>VLOOKUP(F21,'Lampiran Site'!$B$3:$T$80,19,0)</f>
        <v>Go</v>
      </c>
    </row>
    <row r="22" spans="1:21" hidden="1">
      <c r="A22" s="5">
        <v>23</v>
      </c>
      <c r="B22" s="6" t="s">
        <v>183</v>
      </c>
      <c r="C22" s="7">
        <v>125871101</v>
      </c>
      <c r="D22" s="6">
        <v>-6.9634400000000003</v>
      </c>
      <c r="E22" s="6">
        <v>107.754</v>
      </c>
      <c r="F22" s="6" t="s">
        <v>315</v>
      </c>
      <c r="G22" s="6">
        <v>107.755748</v>
      </c>
      <c r="H22" s="6">
        <v>-6.9647290000000002</v>
      </c>
      <c r="I22" s="6" t="s">
        <v>255</v>
      </c>
      <c r="J22" s="33" t="s">
        <v>13</v>
      </c>
      <c r="K22" s="9">
        <v>187</v>
      </c>
      <c r="L22" s="6" t="s">
        <v>559</v>
      </c>
      <c r="M22" s="32" t="s">
        <v>560</v>
      </c>
      <c r="N22" s="6" t="s">
        <v>35</v>
      </c>
      <c r="O22" s="43" t="s">
        <v>660</v>
      </c>
      <c r="P22" s="43" t="s">
        <v>661</v>
      </c>
      <c r="Q22" s="10"/>
      <c r="R22" s="10" t="s">
        <v>2</v>
      </c>
      <c r="S22" s="6" t="s">
        <v>74</v>
      </c>
      <c r="T22" s="5"/>
      <c r="U22" t="str">
        <f>VLOOKUP(C22,'Lampiran Site'!$B$3:$T$80,19,0)</f>
        <v>Go</v>
      </c>
    </row>
    <row r="23" spans="1:21" hidden="1">
      <c r="A23" s="5">
        <v>24</v>
      </c>
      <c r="B23" s="6" t="s">
        <v>184</v>
      </c>
      <c r="C23" s="7" t="s">
        <v>79</v>
      </c>
      <c r="D23" s="6">
        <v>107.64623400000001</v>
      </c>
      <c r="E23" s="6">
        <v>-6.9251230000000001</v>
      </c>
      <c r="F23" s="6">
        <v>125841103</v>
      </c>
      <c r="G23" s="6">
        <v>-6.9241700000000002</v>
      </c>
      <c r="H23" s="6">
        <v>107.649</v>
      </c>
      <c r="I23" s="6" t="s">
        <v>256</v>
      </c>
      <c r="J23" s="33" t="s">
        <v>13</v>
      </c>
      <c r="K23" s="9">
        <v>859</v>
      </c>
      <c r="L23" s="6" t="s">
        <v>561</v>
      </c>
      <c r="M23" s="32" t="s">
        <v>562</v>
      </c>
      <c r="N23" s="6" t="s">
        <v>35</v>
      </c>
      <c r="O23" s="43" t="s">
        <v>659</v>
      </c>
      <c r="P23" s="43" t="s">
        <v>660</v>
      </c>
      <c r="Q23" s="10"/>
      <c r="R23" s="10" t="s">
        <v>2</v>
      </c>
      <c r="S23" s="6" t="s">
        <v>72</v>
      </c>
      <c r="T23" s="5"/>
      <c r="U23" t="str">
        <f>VLOOKUP(F23,'Lampiran Site'!$B$3:$T$80,19,0)</f>
        <v>Go</v>
      </c>
    </row>
    <row r="24" spans="1:21" hidden="1">
      <c r="A24" s="5">
        <v>25</v>
      </c>
      <c r="B24" s="6" t="s">
        <v>185</v>
      </c>
      <c r="C24" s="7" t="s">
        <v>316</v>
      </c>
      <c r="D24" s="6">
        <v>-6.9405200000000002</v>
      </c>
      <c r="E24" s="6">
        <v>107.691</v>
      </c>
      <c r="F24" s="6" t="s">
        <v>73</v>
      </c>
      <c r="G24" s="6">
        <v>107.689438</v>
      </c>
      <c r="H24" s="6">
        <v>-6.9409599999999996</v>
      </c>
      <c r="I24" s="6" t="s">
        <v>256</v>
      </c>
      <c r="J24" s="33" t="s">
        <v>13</v>
      </c>
      <c r="K24" s="9">
        <v>205</v>
      </c>
      <c r="L24" s="6" t="s">
        <v>561</v>
      </c>
      <c r="M24" s="32" t="s">
        <v>562</v>
      </c>
      <c r="N24" s="6" t="s">
        <v>35</v>
      </c>
      <c r="O24" s="43" t="s">
        <v>660</v>
      </c>
      <c r="P24" s="43" t="s">
        <v>661</v>
      </c>
      <c r="Q24" s="10"/>
      <c r="R24" s="10" t="s">
        <v>2</v>
      </c>
      <c r="S24" s="6" t="s">
        <v>72</v>
      </c>
      <c r="T24" s="5"/>
      <c r="U24" t="str">
        <f>VLOOKUP(C24,'Lampiran Site'!$B$3:$T$80,19,0)</f>
        <v>Go</v>
      </c>
    </row>
    <row r="25" spans="1:21" hidden="1">
      <c r="A25" s="5">
        <v>26</v>
      </c>
      <c r="B25" s="6" t="s">
        <v>186</v>
      </c>
      <c r="C25" s="7">
        <v>122376109</v>
      </c>
      <c r="D25" s="6">
        <v>-6.83969</v>
      </c>
      <c r="E25" s="6">
        <v>107.497</v>
      </c>
      <c r="F25" s="6" t="s">
        <v>67</v>
      </c>
      <c r="G25" s="6">
        <v>107.497337</v>
      </c>
      <c r="H25" s="6">
        <v>-6.8431110000000004</v>
      </c>
      <c r="I25" s="6" t="s">
        <v>257</v>
      </c>
      <c r="J25" s="33" t="s">
        <v>13</v>
      </c>
      <c r="K25" s="9">
        <v>815</v>
      </c>
      <c r="L25" s="6" t="s">
        <v>563</v>
      </c>
      <c r="M25" s="32" t="s">
        <v>564</v>
      </c>
      <c r="N25" s="6" t="s">
        <v>35</v>
      </c>
      <c r="O25" s="43" t="s">
        <v>660</v>
      </c>
      <c r="P25" s="43" t="s">
        <v>661</v>
      </c>
      <c r="Q25" s="10"/>
      <c r="R25" s="10" t="s">
        <v>2</v>
      </c>
      <c r="S25" s="6" t="s">
        <v>65</v>
      </c>
      <c r="T25" s="5"/>
      <c r="U25" t="str">
        <f>VLOOKUP(C25,'Lampiran Site'!$B$3:$T$80,19,0)</f>
        <v>Go</v>
      </c>
    </row>
    <row r="26" spans="1:21" hidden="1">
      <c r="A26" s="5">
        <v>27</v>
      </c>
      <c r="B26" s="6" t="s">
        <v>187</v>
      </c>
      <c r="C26" s="7" t="s">
        <v>317</v>
      </c>
      <c r="D26" s="6">
        <v>-6.5440800000000001</v>
      </c>
      <c r="E26" s="6">
        <v>107.43600000000001</v>
      </c>
      <c r="F26" s="6" t="s">
        <v>70</v>
      </c>
      <c r="G26" s="6">
        <v>107.446209</v>
      </c>
      <c r="H26" s="6">
        <v>-6.5525779999999996</v>
      </c>
      <c r="I26" s="6" t="s">
        <v>258</v>
      </c>
      <c r="J26" s="33" t="s">
        <v>13</v>
      </c>
      <c r="K26" s="9">
        <v>1934</v>
      </c>
      <c r="L26" s="6" t="s">
        <v>565</v>
      </c>
      <c r="M26" s="32" t="s">
        <v>566</v>
      </c>
      <c r="N26" s="6" t="s">
        <v>35</v>
      </c>
      <c r="O26" s="43" t="s">
        <v>660</v>
      </c>
      <c r="P26" s="43" t="s">
        <v>661</v>
      </c>
      <c r="Q26" s="10"/>
      <c r="R26" s="10" t="s">
        <v>2</v>
      </c>
      <c r="S26" s="6" t="s">
        <v>68</v>
      </c>
      <c r="T26" s="5"/>
      <c r="U26" t="str">
        <f>VLOOKUP(C26,'Lampiran Site'!$B$3:$T$80,19,0)</f>
        <v>Go</v>
      </c>
    </row>
    <row r="27" spans="1:21" hidden="1">
      <c r="A27" s="5">
        <v>29</v>
      </c>
      <c r="B27" s="6" t="s">
        <v>188</v>
      </c>
      <c r="C27" s="7">
        <v>123556109</v>
      </c>
      <c r="D27" s="6">
        <v>-6.25807</v>
      </c>
      <c r="E27" s="6">
        <v>107.05800000000001</v>
      </c>
      <c r="F27" s="6" t="s">
        <v>318</v>
      </c>
      <c r="G27" s="6">
        <v>-6.25739</v>
      </c>
      <c r="H27" s="6">
        <v>107.062</v>
      </c>
      <c r="I27" s="6" t="s">
        <v>259</v>
      </c>
      <c r="J27" s="33" t="s">
        <v>13</v>
      </c>
      <c r="K27" s="9">
        <v>1115</v>
      </c>
      <c r="L27" s="6" t="s">
        <v>567</v>
      </c>
      <c r="M27" s="32" t="s">
        <v>568</v>
      </c>
      <c r="N27" s="6" t="s">
        <v>35</v>
      </c>
      <c r="O27" s="43" t="s">
        <v>659</v>
      </c>
      <c r="P27" s="43" t="s">
        <v>660</v>
      </c>
      <c r="Q27" s="10"/>
      <c r="R27" s="10" t="s">
        <v>2</v>
      </c>
      <c r="S27" s="6" t="s">
        <v>59</v>
      </c>
      <c r="T27" s="5"/>
      <c r="U27" t="str">
        <f>VLOOKUP(F27,'Lampiran Site'!$B$3:$T$80,19,0)</f>
        <v>Go</v>
      </c>
    </row>
    <row r="28" spans="1:21" hidden="1">
      <c r="A28" s="5">
        <v>33</v>
      </c>
      <c r="B28" s="6" t="s">
        <v>189</v>
      </c>
      <c r="C28" s="7">
        <v>125966123</v>
      </c>
      <c r="D28" s="6">
        <v>-6.5219500000000004</v>
      </c>
      <c r="E28" s="6">
        <v>106.79900000000001</v>
      </c>
      <c r="F28" s="6" t="s">
        <v>57</v>
      </c>
      <c r="G28" s="6">
        <v>106.800573</v>
      </c>
      <c r="H28" s="6">
        <v>-6.5304909999999996</v>
      </c>
      <c r="I28" s="6" t="s">
        <v>260</v>
      </c>
      <c r="J28" s="33" t="s">
        <v>13</v>
      </c>
      <c r="K28" s="9">
        <v>963</v>
      </c>
      <c r="L28" s="6" t="s">
        <v>569</v>
      </c>
      <c r="M28" s="32" t="s">
        <v>570</v>
      </c>
      <c r="N28" s="6" t="s">
        <v>35</v>
      </c>
      <c r="O28" s="43" t="s">
        <v>660</v>
      </c>
      <c r="P28" s="43" t="s">
        <v>661</v>
      </c>
      <c r="Q28" s="10"/>
      <c r="R28" s="10" t="s">
        <v>2</v>
      </c>
      <c r="S28" s="6" t="s">
        <v>51</v>
      </c>
      <c r="T28" s="5"/>
      <c r="U28" t="str">
        <f>VLOOKUP(C28,'Lampiran Site'!$B$3:$T$80,19,0)</f>
        <v>Go</v>
      </c>
    </row>
    <row r="29" spans="1:21" hidden="1">
      <c r="A29" s="5">
        <v>34</v>
      </c>
      <c r="B29" s="6" t="s">
        <v>190</v>
      </c>
      <c r="C29" s="7" t="s">
        <v>58</v>
      </c>
      <c r="D29" s="6">
        <v>106.79487399999999</v>
      </c>
      <c r="E29" s="6">
        <v>-6.4931850000000004</v>
      </c>
      <c r="F29" s="6">
        <v>120288109</v>
      </c>
      <c r="G29" s="6">
        <v>-6.4969299999999999</v>
      </c>
      <c r="H29" s="6">
        <v>106.8</v>
      </c>
      <c r="I29" s="6" t="s">
        <v>261</v>
      </c>
      <c r="J29" s="33" t="s">
        <v>13</v>
      </c>
      <c r="K29" s="9">
        <v>786</v>
      </c>
      <c r="L29" s="6" t="s">
        <v>569</v>
      </c>
      <c r="M29" s="32" t="s">
        <v>571</v>
      </c>
      <c r="N29" s="6" t="s">
        <v>35</v>
      </c>
      <c r="O29" s="43" t="s">
        <v>659</v>
      </c>
      <c r="P29" s="43" t="s">
        <v>660</v>
      </c>
      <c r="Q29" s="10"/>
      <c r="R29" s="10" t="s">
        <v>2</v>
      </c>
      <c r="S29" s="6" t="s">
        <v>51</v>
      </c>
      <c r="T29" s="5"/>
      <c r="U29" t="str">
        <f>VLOOKUP(F29,'Lampiran Site'!$B$3:$T$80,19,0)</f>
        <v>Go</v>
      </c>
    </row>
    <row r="30" spans="1:21" hidden="1">
      <c r="A30" s="5">
        <v>36</v>
      </c>
      <c r="B30" s="6" t="s">
        <v>191</v>
      </c>
      <c r="C30" s="7" t="s">
        <v>163</v>
      </c>
      <c r="D30" s="6">
        <v>-7.2459619999999996</v>
      </c>
      <c r="E30" s="6">
        <v>112.732629</v>
      </c>
      <c r="F30" s="6" t="s">
        <v>319</v>
      </c>
      <c r="G30" s="6">
        <v>-7.2466499999999998</v>
      </c>
      <c r="H30" s="6">
        <v>112.73390999999999</v>
      </c>
      <c r="I30" s="6" t="s">
        <v>262</v>
      </c>
      <c r="J30" s="33" t="s">
        <v>13</v>
      </c>
      <c r="K30" s="9">
        <v>257</v>
      </c>
      <c r="L30" s="6" t="s">
        <v>572</v>
      </c>
      <c r="M30" s="32" t="s">
        <v>573</v>
      </c>
      <c r="N30" s="6" t="s">
        <v>35</v>
      </c>
      <c r="O30" s="43" t="s">
        <v>659</v>
      </c>
      <c r="P30" s="43" t="s">
        <v>660</v>
      </c>
      <c r="Q30" s="10"/>
      <c r="R30" s="10" t="s">
        <v>349</v>
      </c>
      <c r="S30" s="6" t="s">
        <v>131</v>
      </c>
      <c r="T30" s="5"/>
      <c r="U30" t="str">
        <f>VLOOKUP(F30,'Lampiran Site'!$B$3:$T$80,19,0)</f>
        <v>Go</v>
      </c>
    </row>
    <row r="31" spans="1:21" hidden="1">
      <c r="A31" s="5">
        <v>37</v>
      </c>
      <c r="B31" s="6" t="s">
        <v>192</v>
      </c>
      <c r="C31" s="7" t="s">
        <v>132</v>
      </c>
      <c r="D31" s="6">
        <v>-7.2643899999999997</v>
      </c>
      <c r="E31" s="6">
        <v>112.75255300000001</v>
      </c>
      <c r="F31" s="6">
        <v>163135126</v>
      </c>
      <c r="G31" s="6">
        <v>-7.2734399999999999</v>
      </c>
      <c r="H31" s="6">
        <v>112.75700000000001</v>
      </c>
      <c r="I31" s="6" t="s">
        <v>263</v>
      </c>
      <c r="J31" s="33" t="s">
        <v>13</v>
      </c>
      <c r="K31" s="9">
        <v>1676</v>
      </c>
      <c r="L31" s="6" t="s">
        <v>574</v>
      </c>
      <c r="M31" s="32" t="s">
        <v>575</v>
      </c>
      <c r="N31" s="6" t="s">
        <v>35</v>
      </c>
      <c r="O31" s="43" t="s">
        <v>659</v>
      </c>
      <c r="P31" s="43" t="s">
        <v>660</v>
      </c>
      <c r="Q31" s="10"/>
      <c r="R31" s="10" t="s">
        <v>349</v>
      </c>
      <c r="S31" s="6" t="s">
        <v>131</v>
      </c>
      <c r="T31" s="5"/>
      <c r="U31" t="str">
        <f>VLOOKUP(F31,'Lampiran Site'!$B$3:$T$80,19,0)</f>
        <v>Go</v>
      </c>
    </row>
    <row r="32" spans="1:21" hidden="1">
      <c r="A32" s="5">
        <v>38</v>
      </c>
      <c r="B32" s="6" t="s">
        <v>193</v>
      </c>
      <c r="C32" s="7" t="s">
        <v>132</v>
      </c>
      <c r="D32" s="6">
        <v>-7.2643899999999997</v>
      </c>
      <c r="E32" s="6">
        <v>112.75255300000001</v>
      </c>
      <c r="F32" s="6" t="s">
        <v>320</v>
      </c>
      <c r="G32" s="6">
        <v>-7.2681500000000003</v>
      </c>
      <c r="H32" s="6">
        <v>112.76103999999999</v>
      </c>
      <c r="I32" s="6" t="s">
        <v>264</v>
      </c>
      <c r="J32" s="33" t="s">
        <v>13</v>
      </c>
      <c r="K32" s="9">
        <v>1860</v>
      </c>
      <c r="L32" s="6" t="s">
        <v>574</v>
      </c>
      <c r="M32" s="32" t="s">
        <v>576</v>
      </c>
      <c r="N32" s="6" t="s">
        <v>35</v>
      </c>
      <c r="O32" s="43" t="s">
        <v>659</v>
      </c>
      <c r="P32" s="43" t="s">
        <v>660</v>
      </c>
      <c r="Q32" s="10"/>
      <c r="R32" s="10" t="s">
        <v>349</v>
      </c>
      <c r="S32" s="6" t="s">
        <v>131</v>
      </c>
      <c r="T32" s="5"/>
      <c r="U32" t="str">
        <f>VLOOKUP(F32,'Lampiran Site'!$B$3:$T$80,19,0)</f>
        <v>Go</v>
      </c>
    </row>
    <row r="33" spans="1:21" hidden="1">
      <c r="A33" s="5">
        <v>40</v>
      </c>
      <c r="B33" s="6" t="s">
        <v>194</v>
      </c>
      <c r="C33" s="7" t="s">
        <v>321</v>
      </c>
      <c r="D33" s="6">
        <v>-7.3162430000000001</v>
      </c>
      <c r="E33" s="6">
        <v>112.734109</v>
      </c>
      <c r="F33" s="6" t="s">
        <v>322</v>
      </c>
      <c r="G33" s="6">
        <v>-7.3185599999999997</v>
      </c>
      <c r="H33" s="6">
        <v>112.74363</v>
      </c>
      <c r="I33" s="6" t="s">
        <v>265</v>
      </c>
      <c r="J33" s="33" t="s">
        <v>13</v>
      </c>
      <c r="K33" s="9">
        <v>1394</v>
      </c>
      <c r="L33" s="6" t="s">
        <v>577</v>
      </c>
      <c r="M33" s="32" t="s">
        <v>578</v>
      </c>
      <c r="N33" s="6" t="s">
        <v>35</v>
      </c>
      <c r="O33" s="43" t="s">
        <v>659</v>
      </c>
      <c r="P33" s="43" t="s">
        <v>660</v>
      </c>
      <c r="Q33" s="10"/>
      <c r="R33" s="10" t="s">
        <v>349</v>
      </c>
      <c r="S33" s="6" t="s">
        <v>131</v>
      </c>
      <c r="T33" s="5"/>
      <c r="U33" t="str">
        <f>VLOOKUP(F33,'Lampiran Site'!$B$3:$T$80,19,0)</f>
        <v>Go</v>
      </c>
    </row>
    <row r="34" spans="1:21" hidden="1">
      <c r="A34" s="5">
        <v>42</v>
      </c>
      <c r="B34" s="6" t="s">
        <v>195</v>
      </c>
      <c r="C34" s="7">
        <v>1647052007</v>
      </c>
      <c r="D34" s="6">
        <v>-7.3676300000000001</v>
      </c>
      <c r="E34" s="6">
        <v>112.73314999999999</v>
      </c>
      <c r="F34" s="6" t="s">
        <v>323</v>
      </c>
      <c r="G34" s="6">
        <v>-7.3677979999999996</v>
      </c>
      <c r="H34" s="6">
        <v>112.72943100000001</v>
      </c>
      <c r="I34" s="6" t="s">
        <v>266</v>
      </c>
      <c r="J34" s="33" t="s">
        <v>13</v>
      </c>
      <c r="K34" s="9">
        <v>606</v>
      </c>
      <c r="L34" s="6" t="s">
        <v>579</v>
      </c>
      <c r="M34" s="32" t="s">
        <v>580</v>
      </c>
      <c r="N34" s="6" t="s">
        <v>35</v>
      </c>
      <c r="O34" s="43" t="s">
        <v>660</v>
      </c>
      <c r="P34" s="43" t="s">
        <v>661</v>
      </c>
      <c r="Q34" s="10"/>
      <c r="R34" s="10" t="s">
        <v>349</v>
      </c>
      <c r="S34" s="6" t="s">
        <v>101</v>
      </c>
      <c r="T34" s="5"/>
      <c r="U34" t="str">
        <f>VLOOKUP(C34,'Lampiran Site'!$B$3:$T$80,19,0)</f>
        <v>Go</v>
      </c>
    </row>
    <row r="35" spans="1:21" hidden="1">
      <c r="A35" s="5">
        <v>43</v>
      </c>
      <c r="B35" s="6" t="s">
        <v>196</v>
      </c>
      <c r="C35" s="7" t="s">
        <v>124</v>
      </c>
      <c r="D35" s="6">
        <v>-7.3511499999999996</v>
      </c>
      <c r="E35" s="6">
        <v>112.729304</v>
      </c>
      <c r="F35" s="6">
        <v>161876109</v>
      </c>
      <c r="G35" s="6">
        <v>-7.3509200000000003</v>
      </c>
      <c r="H35" s="6">
        <v>112.73339</v>
      </c>
      <c r="I35" s="6" t="s">
        <v>267</v>
      </c>
      <c r="J35" s="33" t="s">
        <v>13</v>
      </c>
      <c r="K35" s="9">
        <v>564</v>
      </c>
      <c r="L35" s="6" t="s">
        <v>579</v>
      </c>
      <c r="M35" s="32" t="s">
        <v>581</v>
      </c>
      <c r="N35" s="6" t="s">
        <v>35</v>
      </c>
      <c r="O35" s="43" t="s">
        <v>659</v>
      </c>
      <c r="P35" s="43" t="s">
        <v>660</v>
      </c>
      <c r="Q35" s="10"/>
      <c r="R35" s="10" t="s">
        <v>349</v>
      </c>
      <c r="S35" s="6" t="s">
        <v>101</v>
      </c>
      <c r="T35" s="5"/>
      <c r="U35" t="str">
        <f>VLOOKUP(F35,'Lampiran Site'!$B$3:$T$80,19,0)</f>
        <v>Go</v>
      </c>
    </row>
    <row r="36" spans="1:21" hidden="1">
      <c r="A36" s="5">
        <v>44</v>
      </c>
      <c r="B36" s="6" t="s">
        <v>197</v>
      </c>
      <c r="C36" s="7">
        <v>161420110</v>
      </c>
      <c r="D36" s="6">
        <v>-7.4321299999999999</v>
      </c>
      <c r="E36" s="6">
        <v>112.72768000000001</v>
      </c>
      <c r="F36" s="6" t="s">
        <v>324</v>
      </c>
      <c r="G36" s="6">
        <v>-7.4282940000000002</v>
      </c>
      <c r="H36" s="6">
        <v>112.722819</v>
      </c>
      <c r="I36" s="6" t="s">
        <v>268</v>
      </c>
      <c r="J36" s="33" t="s">
        <v>13</v>
      </c>
      <c r="K36" s="9">
        <v>1201</v>
      </c>
      <c r="L36" s="6" t="s">
        <v>582</v>
      </c>
      <c r="M36" s="32" t="s">
        <v>583</v>
      </c>
      <c r="N36" s="6" t="s">
        <v>35</v>
      </c>
      <c r="O36" s="43" t="s">
        <v>660</v>
      </c>
      <c r="P36" s="43" t="s">
        <v>661</v>
      </c>
      <c r="Q36" s="10"/>
      <c r="R36" s="10" t="s">
        <v>349</v>
      </c>
      <c r="S36" s="6" t="s">
        <v>101</v>
      </c>
      <c r="T36" s="5"/>
      <c r="U36" t="str">
        <f>VLOOKUP(C36,'Lampiran Site'!$B$3:$T$80,19,0)</f>
        <v>Go</v>
      </c>
    </row>
    <row r="37" spans="1:21" hidden="1">
      <c r="A37" s="5">
        <v>45</v>
      </c>
      <c r="B37" s="6" t="s">
        <v>198</v>
      </c>
      <c r="C37" s="7" t="s">
        <v>127</v>
      </c>
      <c r="D37" s="6">
        <v>-7.4423760000000003</v>
      </c>
      <c r="E37" s="6">
        <v>112.71524100000001</v>
      </c>
      <c r="F37" s="6">
        <v>163181126</v>
      </c>
      <c r="G37" s="6">
        <v>-7.4421099999999996</v>
      </c>
      <c r="H37" s="6">
        <v>112.71442</v>
      </c>
      <c r="I37" s="6" t="s">
        <v>269</v>
      </c>
      <c r="J37" s="33" t="s">
        <v>13</v>
      </c>
      <c r="K37" s="9">
        <v>102</v>
      </c>
      <c r="L37" s="6" t="s">
        <v>584</v>
      </c>
      <c r="M37" s="32" t="s">
        <v>585</v>
      </c>
      <c r="N37" s="6" t="s">
        <v>35</v>
      </c>
      <c r="O37" s="43" t="s">
        <v>659</v>
      </c>
      <c r="P37" s="43" t="s">
        <v>660</v>
      </c>
      <c r="Q37" s="10"/>
      <c r="R37" s="10" t="s">
        <v>349</v>
      </c>
      <c r="S37" s="6" t="s">
        <v>101</v>
      </c>
      <c r="T37" s="5"/>
      <c r="U37" t="str">
        <f>VLOOKUP(F37,'Lampiran Site'!$B$3:$T$80,19,0)</f>
        <v>Go</v>
      </c>
    </row>
    <row r="38" spans="1:21" hidden="1">
      <c r="A38" s="5">
        <v>46</v>
      </c>
      <c r="B38" s="6" t="s">
        <v>199</v>
      </c>
      <c r="C38" s="7">
        <v>1649262007</v>
      </c>
      <c r="D38" s="6">
        <v>-7.4491100000000001</v>
      </c>
      <c r="E38" s="6">
        <v>112.71008999999999</v>
      </c>
      <c r="F38" s="6" t="s">
        <v>125</v>
      </c>
      <c r="G38" s="6">
        <v>-7.4542060000000001</v>
      </c>
      <c r="H38" s="6">
        <v>112.71315</v>
      </c>
      <c r="I38" s="6" t="s">
        <v>269</v>
      </c>
      <c r="J38" s="33" t="s">
        <v>13</v>
      </c>
      <c r="K38" s="9">
        <v>1226</v>
      </c>
      <c r="L38" s="6" t="s">
        <v>584</v>
      </c>
      <c r="M38" s="32" t="s">
        <v>585</v>
      </c>
      <c r="N38" s="6" t="s">
        <v>35</v>
      </c>
      <c r="O38" s="43" t="s">
        <v>660</v>
      </c>
      <c r="P38" s="43" t="s">
        <v>661</v>
      </c>
      <c r="Q38" s="10"/>
      <c r="R38" s="10" t="s">
        <v>349</v>
      </c>
      <c r="S38" s="6" t="s">
        <v>101</v>
      </c>
      <c r="T38" s="5"/>
      <c r="U38" t="str">
        <f>VLOOKUP(C38,'Lampiran Site'!$B$3:$T$80,19,0)</f>
        <v>Go</v>
      </c>
    </row>
    <row r="39" spans="1:21" hidden="1">
      <c r="A39" s="5">
        <v>47</v>
      </c>
      <c r="B39" s="6" t="s">
        <v>200</v>
      </c>
      <c r="C39" s="7">
        <v>1647062007</v>
      </c>
      <c r="D39" s="6">
        <v>-7.3874500000000003</v>
      </c>
      <c r="E39" s="6">
        <v>112.72716</v>
      </c>
      <c r="F39" s="6" t="s">
        <v>325</v>
      </c>
      <c r="G39" s="6">
        <v>-7.3894840000000004</v>
      </c>
      <c r="H39" s="6">
        <v>112.72871000000001</v>
      </c>
      <c r="I39" s="6" t="s">
        <v>270</v>
      </c>
      <c r="J39" s="33" t="s">
        <v>13</v>
      </c>
      <c r="K39" s="9">
        <v>520</v>
      </c>
      <c r="L39" s="6" t="s">
        <v>586</v>
      </c>
      <c r="M39" s="32" t="s">
        <v>587</v>
      </c>
      <c r="N39" s="6" t="s">
        <v>35</v>
      </c>
      <c r="O39" s="43" t="s">
        <v>660</v>
      </c>
      <c r="P39" s="43" t="s">
        <v>661</v>
      </c>
      <c r="Q39" s="10"/>
      <c r="R39" s="10" t="s">
        <v>349</v>
      </c>
      <c r="S39" s="6" t="s">
        <v>101</v>
      </c>
      <c r="T39" s="5"/>
      <c r="U39" t="str">
        <f>VLOOKUP(C39,'Lampiran Site'!$B$3:$T$80,19,0)</f>
        <v>Go</v>
      </c>
    </row>
    <row r="40" spans="1:21" hidden="1">
      <c r="A40" s="5">
        <v>48</v>
      </c>
      <c r="B40" s="6" t="s">
        <v>201</v>
      </c>
      <c r="C40" s="7" t="s">
        <v>326</v>
      </c>
      <c r="D40" s="6">
        <v>-7.4723280000000001</v>
      </c>
      <c r="E40" s="6">
        <v>112.43206000000001</v>
      </c>
      <c r="F40" s="6">
        <v>163157126</v>
      </c>
      <c r="G40" s="6">
        <v>-7.4763200000000003</v>
      </c>
      <c r="H40" s="6">
        <v>112.43198</v>
      </c>
      <c r="I40" s="6" t="s">
        <v>271</v>
      </c>
      <c r="J40" s="33" t="s">
        <v>13</v>
      </c>
      <c r="K40" s="9">
        <v>536</v>
      </c>
      <c r="L40" s="6" t="s">
        <v>588</v>
      </c>
      <c r="M40" s="32" t="s">
        <v>589</v>
      </c>
      <c r="N40" s="6" t="s">
        <v>35</v>
      </c>
      <c r="O40" s="43" t="s">
        <v>659</v>
      </c>
      <c r="P40" s="43" t="s">
        <v>660</v>
      </c>
      <c r="Q40" s="10"/>
      <c r="R40" s="10" t="s">
        <v>349</v>
      </c>
      <c r="S40" s="6" t="s">
        <v>360</v>
      </c>
      <c r="T40" s="5"/>
      <c r="U40" t="str">
        <f>VLOOKUP(F40,'Lampiran Site'!$B$3:$T$80,19,0)</f>
        <v>Go</v>
      </c>
    </row>
    <row r="41" spans="1:21" hidden="1">
      <c r="A41" s="5">
        <v>49</v>
      </c>
      <c r="B41" s="6" t="s">
        <v>202</v>
      </c>
      <c r="C41" s="7" t="s">
        <v>326</v>
      </c>
      <c r="D41" s="6">
        <v>-7.4723280000000001</v>
      </c>
      <c r="E41" s="6">
        <v>112.43206000000001</v>
      </c>
      <c r="F41" s="6">
        <v>1647952007</v>
      </c>
      <c r="G41" s="6">
        <v>-7.4764799999999996</v>
      </c>
      <c r="H41" s="6">
        <v>112.43680999999999</v>
      </c>
      <c r="I41" s="6" t="s">
        <v>272</v>
      </c>
      <c r="J41" s="33" t="s">
        <v>13</v>
      </c>
      <c r="K41" s="9">
        <v>1874</v>
      </c>
      <c r="L41" s="6" t="s">
        <v>588</v>
      </c>
      <c r="M41" s="32" t="s">
        <v>590</v>
      </c>
      <c r="N41" s="6" t="s">
        <v>35</v>
      </c>
      <c r="O41" s="43" t="s">
        <v>659</v>
      </c>
      <c r="P41" s="43" t="s">
        <v>660</v>
      </c>
      <c r="Q41" s="10"/>
      <c r="R41" s="10" t="s">
        <v>349</v>
      </c>
      <c r="S41" s="6" t="s">
        <v>360</v>
      </c>
      <c r="T41" s="5"/>
      <c r="U41" t="str">
        <f>VLOOKUP(F41,'Lampiran Site'!$B$3:$T$80,19,0)</f>
        <v>Go</v>
      </c>
    </row>
    <row r="42" spans="1:21" hidden="1">
      <c r="A42" s="5">
        <v>50</v>
      </c>
      <c r="B42" s="6" t="s">
        <v>203</v>
      </c>
      <c r="C42" s="7">
        <v>163317126</v>
      </c>
      <c r="D42" s="6">
        <v>-7.55253</v>
      </c>
      <c r="E42" s="6">
        <v>112.23177</v>
      </c>
      <c r="F42" s="6" t="s">
        <v>104</v>
      </c>
      <c r="G42" s="6">
        <v>-7.5613659999999996</v>
      </c>
      <c r="H42" s="6">
        <v>112.225099</v>
      </c>
      <c r="I42" s="6" t="s">
        <v>273</v>
      </c>
      <c r="J42" s="33" t="s">
        <v>13</v>
      </c>
      <c r="K42" s="9">
        <v>1891</v>
      </c>
      <c r="L42" s="6" t="s">
        <v>591</v>
      </c>
      <c r="M42" s="32" t="s">
        <v>592</v>
      </c>
      <c r="N42" s="6" t="s">
        <v>35</v>
      </c>
      <c r="O42" s="43" t="s">
        <v>660</v>
      </c>
      <c r="P42" s="43" t="s">
        <v>661</v>
      </c>
      <c r="Q42" s="10"/>
      <c r="R42" s="10" t="s">
        <v>349</v>
      </c>
      <c r="S42" s="6" t="s">
        <v>102</v>
      </c>
      <c r="T42" s="5"/>
      <c r="U42" t="str">
        <f>VLOOKUP(C42,'Lampiran Site'!$B$3:$T$80,19,0)</f>
        <v>Go</v>
      </c>
    </row>
    <row r="43" spans="1:21" hidden="1">
      <c r="A43" s="5">
        <v>51</v>
      </c>
      <c r="B43" s="6" t="s">
        <v>204</v>
      </c>
      <c r="C43" s="7" t="s">
        <v>104</v>
      </c>
      <c r="D43" s="6">
        <v>-7.5613659999999996</v>
      </c>
      <c r="E43" s="6">
        <v>112.225099</v>
      </c>
      <c r="F43" s="6">
        <v>160217104</v>
      </c>
      <c r="G43" s="6">
        <v>-7.5454999999999997</v>
      </c>
      <c r="H43" s="6">
        <v>112.23339</v>
      </c>
      <c r="I43" s="6" t="s">
        <v>274</v>
      </c>
      <c r="J43" s="33" t="s">
        <v>13</v>
      </c>
      <c r="K43" s="9">
        <v>3001</v>
      </c>
      <c r="L43" s="6" t="s">
        <v>591</v>
      </c>
      <c r="M43" s="32" t="s">
        <v>593</v>
      </c>
      <c r="N43" s="6" t="s">
        <v>35</v>
      </c>
      <c r="O43" s="43" t="s">
        <v>659</v>
      </c>
      <c r="P43" s="43" t="s">
        <v>660</v>
      </c>
      <c r="Q43" s="10"/>
      <c r="R43" s="10" t="s">
        <v>349</v>
      </c>
      <c r="S43" s="6" t="s">
        <v>102</v>
      </c>
      <c r="T43" s="5"/>
      <c r="U43" t="str">
        <f>VLOOKUP(F43,'Lampiran Site'!$B$3:$T$80,19,0)</f>
        <v>Go</v>
      </c>
    </row>
    <row r="44" spans="1:21" hidden="1">
      <c r="A44" s="5">
        <v>52</v>
      </c>
      <c r="B44" s="6" t="s">
        <v>205</v>
      </c>
      <c r="C44" s="7" t="s">
        <v>327</v>
      </c>
      <c r="D44" s="6">
        <v>-7.5944789999999998</v>
      </c>
      <c r="E44" s="6">
        <v>112.106477</v>
      </c>
      <c r="F44" s="6" t="s">
        <v>328</v>
      </c>
      <c r="G44" s="6">
        <v>-7.5895700000000001</v>
      </c>
      <c r="H44" s="6">
        <v>112.09632999999999</v>
      </c>
      <c r="I44" s="6" t="s">
        <v>275</v>
      </c>
      <c r="J44" s="33" t="s">
        <v>13</v>
      </c>
      <c r="K44" s="9">
        <v>1852</v>
      </c>
      <c r="L44" s="6" t="s">
        <v>594</v>
      </c>
      <c r="M44" s="32" t="s">
        <v>595</v>
      </c>
      <c r="N44" s="6" t="s">
        <v>35</v>
      </c>
      <c r="O44" s="43" t="s">
        <v>659</v>
      </c>
      <c r="P44" s="43" t="s">
        <v>660</v>
      </c>
      <c r="Q44" s="10"/>
      <c r="R44" s="10" t="s">
        <v>349</v>
      </c>
      <c r="S44" s="6" t="s">
        <v>119</v>
      </c>
      <c r="T44" s="5"/>
      <c r="U44" t="str">
        <f>VLOOKUP(F44,'Lampiran Site'!$B$3:$T$80,19,0)</f>
        <v>Go</v>
      </c>
    </row>
    <row r="45" spans="1:21" hidden="1">
      <c r="A45" s="5">
        <v>53</v>
      </c>
      <c r="B45" s="6" t="s">
        <v>206</v>
      </c>
      <c r="C45" s="7" t="s">
        <v>329</v>
      </c>
      <c r="D45" s="6">
        <v>-7.7694929999999998</v>
      </c>
      <c r="E45" s="6">
        <v>112.02677799999999</v>
      </c>
      <c r="F45" s="6">
        <v>1628011001</v>
      </c>
      <c r="G45" s="6">
        <v>-7.77081</v>
      </c>
      <c r="H45" s="6">
        <v>112.0339</v>
      </c>
      <c r="I45" s="6" t="s">
        <v>276</v>
      </c>
      <c r="J45" s="33" t="s">
        <v>13</v>
      </c>
      <c r="K45" s="9">
        <v>1381</v>
      </c>
      <c r="L45" s="6" t="s">
        <v>596</v>
      </c>
      <c r="M45" s="32" t="s">
        <v>597</v>
      </c>
      <c r="N45" s="6" t="s">
        <v>35</v>
      </c>
      <c r="O45" s="43" t="s">
        <v>659</v>
      </c>
      <c r="P45" s="43" t="s">
        <v>660</v>
      </c>
      <c r="Q45" s="10"/>
      <c r="R45" s="10" t="s">
        <v>349</v>
      </c>
      <c r="S45" s="6" t="s">
        <v>110</v>
      </c>
      <c r="T45" s="5"/>
      <c r="U45" t="str">
        <f>VLOOKUP(F45,'Lampiran Site'!$B$3:$T$80,19,0)</f>
        <v>Go</v>
      </c>
    </row>
    <row r="46" spans="1:21" hidden="1">
      <c r="A46" s="5">
        <v>54</v>
      </c>
      <c r="B46" s="6" t="s">
        <v>207</v>
      </c>
      <c r="C46" s="7">
        <v>161395110</v>
      </c>
      <c r="D46" s="6">
        <v>-7.9955600000000002</v>
      </c>
      <c r="E46" s="6">
        <v>112.62598</v>
      </c>
      <c r="F46" s="6" t="s">
        <v>116</v>
      </c>
      <c r="G46" s="6">
        <v>-7.9938409999999998</v>
      </c>
      <c r="H46" s="6">
        <v>112.63361</v>
      </c>
      <c r="I46" s="6" t="s">
        <v>277</v>
      </c>
      <c r="J46" s="33" t="s">
        <v>13</v>
      </c>
      <c r="K46" s="9">
        <v>1721</v>
      </c>
      <c r="L46" s="6" t="s">
        <v>598</v>
      </c>
      <c r="M46" s="32" t="s">
        <v>599</v>
      </c>
      <c r="N46" s="6" t="s">
        <v>35</v>
      </c>
      <c r="O46" s="43" t="s">
        <v>660</v>
      </c>
      <c r="P46" s="43" t="s">
        <v>661</v>
      </c>
      <c r="Q46" s="10"/>
      <c r="R46" s="10" t="s">
        <v>349</v>
      </c>
      <c r="S46" s="6" t="s">
        <v>111</v>
      </c>
      <c r="T46" s="5"/>
      <c r="U46" t="str">
        <f>VLOOKUP(C46,'Lampiran Site'!$B$3:$T$80,19,0)</f>
        <v>Go</v>
      </c>
    </row>
    <row r="47" spans="1:21" hidden="1">
      <c r="A47" s="5">
        <v>55</v>
      </c>
      <c r="B47" s="6" t="s">
        <v>208</v>
      </c>
      <c r="C47" s="7">
        <v>1650662001</v>
      </c>
      <c r="D47" s="6">
        <v>-7.9462400000000004</v>
      </c>
      <c r="E47" s="6">
        <v>112.64762</v>
      </c>
      <c r="F47" s="6" t="s">
        <v>112</v>
      </c>
      <c r="G47" s="6">
        <v>-7.9415709999999997</v>
      </c>
      <c r="H47" s="6">
        <v>112.64439400000001</v>
      </c>
      <c r="I47" s="6" t="s">
        <v>278</v>
      </c>
      <c r="J47" s="33" t="s">
        <v>13</v>
      </c>
      <c r="K47" s="9">
        <v>997</v>
      </c>
      <c r="L47" s="6" t="s">
        <v>600</v>
      </c>
      <c r="M47" s="32" t="s">
        <v>601</v>
      </c>
      <c r="N47" s="6" t="s">
        <v>35</v>
      </c>
      <c r="O47" s="43" t="s">
        <v>660</v>
      </c>
      <c r="P47" s="43" t="s">
        <v>661</v>
      </c>
      <c r="Q47" s="10"/>
      <c r="R47" s="10" t="s">
        <v>349</v>
      </c>
      <c r="S47" s="6" t="s">
        <v>111</v>
      </c>
      <c r="T47" s="5"/>
      <c r="U47" t="str">
        <f>VLOOKUP(C47,'Lampiran Site'!$B$3:$T$80,19,0)</f>
        <v>Go</v>
      </c>
    </row>
    <row r="48" spans="1:21" hidden="1">
      <c r="A48" s="5">
        <v>56</v>
      </c>
      <c r="B48" s="6" t="s">
        <v>209</v>
      </c>
      <c r="C48" s="7">
        <v>163870110</v>
      </c>
      <c r="D48" s="6">
        <v>-7.9042000000000003</v>
      </c>
      <c r="E48" s="6">
        <v>112.65996</v>
      </c>
      <c r="F48" s="6" t="s">
        <v>115</v>
      </c>
      <c r="G48" s="6">
        <v>-7.8970450000000003</v>
      </c>
      <c r="H48" s="6">
        <v>112.664889</v>
      </c>
      <c r="I48" s="6" t="s">
        <v>279</v>
      </c>
      <c r="J48" s="33" t="s">
        <v>13</v>
      </c>
      <c r="K48" s="9">
        <v>1332</v>
      </c>
      <c r="L48" s="6" t="s">
        <v>602</v>
      </c>
      <c r="M48" s="32" t="s">
        <v>603</v>
      </c>
      <c r="N48" s="6" t="s">
        <v>35</v>
      </c>
      <c r="O48" s="43" t="s">
        <v>660</v>
      </c>
      <c r="P48" s="43" t="s">
        <v>661</v>
      </c>
      <c r="Q48" s="10"/>
      <c r="R48" s="10" t="s">
        <v>349</v>
      </c>
      <c r="S48" s="6" t="s">
        <v>113</v>
      </c>
      <c r="T48" s="5"/>
      <c r="U48" t="str">
        <f>VLOOKUP(C48,'Lampiran Site'!$B$3:$T$80,19,0)</f>
        <v>Go</v>
      </c>
    </row>
    <row r="49" spans="1:21" hidden="1">
      <c r="A49" s="5">
        <v>57</v>
      </c>
      <c r="B49" s="6" t="s">
        <v>210</v>
      </c>
      <c r="C49" s="7" t="s">
        <v>122</v>
      </c>
      <c r="D49" s="6">
        <v>-7.7542450000000001</v>
      </c>
      <c r="E49" s="6">
        <v>112.724402</v>
      </c>
      <c r="F49" s="6">
        <v>1649892007</v>
      </c>
      <c r="G49" s="6">
        <v>-7.7430199999999996</v>
      </c>
      <c r="H49" s="6">
        <v>112.72765</v>
      </c>
      <c r="I49" s="6" t="s">
        <v>280</v>
      </c>
      <c r="J49" s="33" t="s">
        <v>13</v>
      </c>
      <c r="K49" s="9">
        <v>2401</v>
      </c>
      <c r="L49" s="6" t="s">
        <v>604</v>
      </c>
      <c r="M49" s="32" t="s">
        <v>605</v>
      </c>
      <c r="N49" s="6" t="s">
        <v>35</v>
      </c>
      <c r="O49" s="43" t="s">
        <v>659</v>
      </c>
      <c r="P49" s="43" t="s">
        <v>660</v>
      </c>
      <c r="Q49" s="10"/>
      <c r="R49" s="10" t="s">
        <v>349</v>
      </c>
      <c r="S49" s="6" t="s">
        <v>120</v>
      </c>
      <c r="T49" s="5"/>
      <c r="U49" t="str">
        <f>VLOOKUP(F49,'Lampiran Site'!$B$3:$T$80,19,0)</f>
        <v>Go</v>
      </c>
    </row>
    <row r="50" spans="1:21" hidden="1">
      <c r="A50" s="5">
        <v>58</v>
      </c>
      <c r="B50" s="6" t="s">
        <v>211</v>
      </c>
      <c r="C50" s="7">
        <v>1654591001</v>
      </c>
      <c r="D50" s="6">
        <v>-8.1811199999999999</v>
      </c>
      <c r="E50" s="6">
        <v>113.67416</v>
      </c>
      <c r="F50" s="6" t="s">
        <v>330</v>
      </c>
      <c r="G50" s="6">
        <v>-8.1773679999999995</v>
      </c>
      <c r="H50" s="6">
        <v>113.677429</v>
      </c>
      <c r="I50" s="6" t="s">
        <v>281</v>
      </c>
      <c r="J50" s="33" t="s">
        <v>13</v>
      </c>
      <c r="K50" s="9">
        <v>895</v>
      </c>
      <c r="L50" s="6" t="s">
        <v>606</v>
      </c>
      <c r="M50" s="32" t="s">
        <v>607</v>
      </c>
      <c r="N50" s="6" t="s">
        <v>35</v>
      </c>
      <c r="O50" s="43" t="s">
        <v>660</v>
      </c>
      <c r="P50" s="43" t="s">
        <v>661</v>
      </c>
      <c r="Q50" s="10"/>
      <c r="R50" s="10" t="s">
        <v>349</v>
      </c>
      <c r="S50" s="6" t="s">
        <v>105</v>
      </c>
      <c r="T50" s="5"/>
      <c r="U50" t="str">
        <f>VLOOKUP(C50,'Lampiran Site'!$B$3:$T$80,19,0)</f>
        <v>Go</v>
      </c>
    </row>
    <row r="51" spans="1:21" hidden="1">
      <c r="A51" s="5">
        <v>59</v>
      </c>
      <c r="B51" s="6" t="s">
        <v>212</v>
      </c>
      <c r="C51" s="7" t="s">
        <v>108</v>
      </c>
      <c r="D51" s="6">
        <v>-8.1667000000000005</v>
      </c>
      <c r="E51" s="6">
        <v>113.7015</v>
      </c>
      <c r="F51" s="6">
        <v>161332104</v>
      </c>
      <c r="G51" s="6">
        <v>-8.1663899999999998</v>
      </c>
      <c r="H51" s="6">
        <v>113.71155</v>
      </c>
      <c r="I51" s="6" t="s">
        <v>282</v>
      </c>
      <c r="J51" s="33" t="s">
        <v>13</v>
      </c>
      <c r="K51" s="9">
        <v>1774</v>
      </c>
      <c r="L51" s="6" t="s">
        <v>608</v>
      </c>
      <c r="M51" s="32" t="s">
        <v>609</v>
      </c>
      <c r="N51" s="6" t="s">
        <v>35</v>
      </c>
      <c r="O51" s="43" t="s">
        <v>659</v>
      </c>
      <c r="P51" s="43" t="s">
        <v>660</v>
      </c>
      <c r="Q51" s="10"/>
      <c r="R51" s="10" t="s">
        <v>349</v>
      </c>
      <c r="S51" s="6" t="s">
        <v>105</v>
      </c>
      <c r="T51" s="5"/>
      <c r="U51" t="str">
        <f>VLOOKUP(F51,'Lampiran Site'!$B$3:$T$80,19,0)</f>
        <v>Go</v>
      </c>
    </row>
    <row r="52" spans="1:21" hidden="1">
      <c r="A52" s="5">
        <v>60</v>
      </c>
      <c r="B52" s="6" t="s">
        <v>213</v>
      </c>
      <c r="C52" s="7" t="s">
        <v>330</v>
      </c>
      <c r="D52" s="6">
        <v>-8.1773679999999995</v>
      </c>
      <c r="E52" s="6">
        <v>113.677429</v>
      </c>
      <c r="F52" s="6" t="s">
        <v>331</v>
      </c>
      <c r="G52" s="6">
        <v>-8.1707800000000006</v>
      </c>
      <c r="H52" s="6">
        <v>113.6785</v>
      </c>
      <c r="I52" s="6" t="s">
        <v>283</v>
      </c>
      <c r="J52" s="33" t="s">
        <v>13</v>
      </c>
      <c r="K52" s="9">
        <v>1026</v>
      </c>
      <c r="L52" s="6" t="s">
        <v>610</v>
      </c>
      <c r="M52" s="32" t="s">
        <v>611</v>
      </c>
      <c r="N52" s="6" t="s">
        <v>35</v>
      </c>
      <c r="O52" s="43" t="s">
        <v>659</v>
      </c>
      <c r="P52" s="43" t="s">
        <v>660</v>
      </c>
      <c r="Q52" s="10"/>
      <c r="R52" s="10" t="s">
        <v>349</v>
      </c>
      <c r="S52" s="6" t="s">
        <v>105</v>
      </c>
      <c r="T52" s="5"/>
      <c r="U52" t="str">
        <f>VLOOKUP(F52,'Lampiran Site'!$B$3:$T$80,19,0)</f>
        <v>Go</v>
      </c>
    </row>
    <row r="53" spans="1:21" hidden="1">
      <c r="A53" s="5">
        <v>61</v>
      </c>
      <c r="B53" s="6" t="s">
        <v>214</v>
      </c>
      <c r="C53" s="7" t="s">
        <v>49</v>
      </c>
      <c r="D53" s="7">
        <v>110.37805899999999</v>
      </c>
      <c r="E53" s="7">
        <v>-7.7895989999999999</v>
      </c>
      <c r="F53" s="6">
        <v>150235110</v>
      </c>
      <c r="G53" s="7">
        <v>110.38303999999999</v>
      </c>
      <c r="H53" s="7">
        <v>-7.7940199999999997</v>
      </c>
      <c r="I53" s="6" t="s">
        <v>284</v>
      </c>
      <c r="J53" s="33" t="s">
        <v>13</v>
      </c>
      <c r="K53" s="9">
        <v>1187</v>
      </c>
      <c r="L53" s="6" t="s">
        <v>612</v>
      </c>
      <c r="M53" s="32" t="s">
        <v>613</v>
      </c>
      <c r="N53" s="6" t="s">
        <v>35</v>
      </c>
      <c r="O53" s="43" t="s">
        <v>659</v>
      </c>
      <c r="P53" s="43" t="s">
        <v>660</v>
      </c>
      <c r="Q53" s="10"/>
      <c r="R53" s="10" t="s">
        <v>350</v>
      </c>
      <c r="S53" s="6" t="s">
        <v>354</v>
      </c>
      <c r="T53" s="5"/>
      <c r="U53" t="str">
        <f>VLOOKUP(F53,'Lampiran Site'!$B$3:$T$80,19,0)</f>
        <v>Go</v>
      </c>
    </row>
    <row r="54" spans="1:21" hidden="1">
      <c r="A54" s="5">
        <v>62</v>
      </c>
      <c r="B54" s="6" t="s">
        <v>215</v>
      </c>
      <c r="C54" s="7">
        <v>1510341001</v>
      </c>
      <c r="D54" s="7">
        <v>110.37645999999999</v>
      </c>
      <c r="E54" s="7">
        <v>-7.7818899999999998</v>
      </c>
      <c r="F54" s="6" t="s">
        <v>332</v>
      </c>
      <c r="G54" s="7">
        <v>110.37805899999999</v>
      </c>
      <c r="H54" s="7">
        <v>-7.7895989999999999</v>
      </c>
      <c r="I54" s="6" t="s">
        <v>285</v>
      </c>
      <c r="J54" s="33" t="s">
        <v>13</v>
      </c>
      <c r="K54" s="9">
        <v>1439</v>
      </c>
      <c r="L54" s="6" t="s">
        <v>614</v>
      </c>
      <c r="M54" s="32" t="s">
        <v>615</v>
      </c>
      <c r="N54" s="6" t="s">
        <v>35</v>
      </c>
      <c r="O54" s="43" t="s">
        <v>660</v>
      </c>
      <c r="P54" s="43" t="s">
        <v>661</v>
      </c>
      <c r="Q54" s="10"/>
      <c r="R54" s="10" t="s">
        <v>350</v>
      </c>
      <c r="S54" s="6" t="s">
        <v>354</v>
      </c>
      <c r="T54" s="5"/>
      <c r="U54" t="str">
        <f>VLOOKUP(C54,'Lampiran Site'!$B$3:$T$80,19,0)</f>
        <v>Go</v>
      </c>
    </row>
    <row r="55" spans="1:21" hidden="1">
      <c r="A55" s="5">
        <v>63</v>
      </c>
      <c r="B55" s="6" t="s">
        <v>216</v>
      </c>
      <c r="C55" s="7" t="s">
        <v>333</v>
      </c>
      <c r="D55" s="7">
        <v>110.357626</v>
      </c>
      <c r="E55" s="7">
        <v>-7.7886889999999998</v>
      </c>
      <c r="F55" s="6">
        <v>150123109</v>
      </c>
      <c r="G55" s="7">
        <v>110.358</v>
      </c>
      <c r="H55" s="7">
        <v>-7.7882699999999998</v>
      </c>
      <c r="I55" s="6" t="s">
        <v>286</v>
      </c>
      <c r="J55" s="33" t="s">
        <v>13</v>
      </c>
      <c r="K55" s="9">
        <v>101</v>
      </c>
      <c r="L55" s="6" t="s">
        <v>614</v>
      </c>
      <c r="M55" s="32" t="s">
        <v>616</v>
      </c>
      <c r="N55" s="6" t="s">
        <v>35</v>
      </c>
      <c r="O55" s="43" t="s">
        <v>659</v>
      </c>
      <c r="P55" s="43" t="s">
        <v>660</v>
      </c>
      <c r="Q55" s="10"/>
      <c r="R55" s="10" t="s">
        <v>350</v>
      </c>
      <c r="S55" s="6" t="s">
        <v>354</v>
      </c>
      <c r="T55" s="5"/>
      <c r="U55" t="str">
        <f>VLOOKUP(F55,'Lampiran Site'!$B$3:$T$80,19,0)</f>
        <v>Go</v>
      </c>
    </row>
    <row r="56" spans="1:21" hidden="1">
      <c r="A56" s="5">
        <v>65</v>
      </c>
      <c r="B56" s="6" t="s">
        <v>217</v>
      </c>
      <c r="C56" s="7" t="s">
        <v>334</v>
      </c>
      <c r="D56" s="7">
        <v>110.285229</v>
      </c>
      <c r="E56" s="7">
        <v>-7.7956799999999999</v>
      </c>
      <c r="F56" s="6">
        <v>1509741023</v>
      </c>
      <c r="G56" s="7">
        <v>110.29522</v>
      </c>
      <c r="H56" s="7">
        <v>-7.7937599999999998</v>
      </c>
      <c r="I56" s="6" t="s">
        <v>287</v>
      </c>
      <c r="J56" s="33" t="s">
        <v>13</v>
      </c>
      <c r="K56" s="9">
        <v>2099</v>
      </c>
      <c r="L56" s="6" t="s">
        <v>617</v>
      </c>
      <c r="M56" s="32" t="s">
        <v>618</v>
      </c>
      <c r="N56" s="6" t="s">
        <v>35</v>
      </c>
      <c r="O56" s="43" t="s">
        <v>659</v>
      </c>
      <c r="P56" s="43" t="s">
        <v>660</v>
      </c>
      <c r="Q56" s="10"/>
      <c r="R56" s="10" t="s">
        <v>350</v>
      </c>
      <c r="S56" s="6" t="s">
        <v>50</v>
      </c>
      <c r="T56" s="5"/>
      <c r="U56" t="str">
        <f>VLOOKUP(F56,'Lampiran Site'!$B$3:$T$80,19,0)</f>
        <v>Go</v>
      </c>
    </row>
    <row r="57" spans="1:21" hidden="1">
      <c r="A57" s="5">
        <v>66</v>
      </c>
      <c r="B57" s="6" t="s">
        <v>218</v>
      </c>
      <c r="C57" s="7" t="s">
        <v>334</v>
      </c>
      <c r="D57" s="7">
        <v>110.285229</v>
      </c>
      <c r="E57" s="7">
        <v>-7.7956799999999999</v>
      </c>
      <c r="F57" s="6">
        <v>150659103</v>
      </c>
      <c r="G57" s="7">
        <v>110.28273</v>
      </c>
      <c r="H57" s="7">
        <v>-7.7998200000000004</v>
      </c>
      <c r="I57" s="6" t="s">
        <v>288</v>
      </c>
      <c r="J57" s="33" t="s">
        <v>13</v>
      </c>
      <c r="K57" s="9">
        <v>637</v>
      </c>
      <c r="L57" s="6" t="s">
        <v>617</v>
      </c>
      <c r="M57" s="32" t="s">
        <v>619</v>
      </c>
      <c r="N57" s="6" t="s">
        <v>35</v>
      </c>
      <c r="O57" s="43" t="s">
        <v>659</v>
      </c>
      <c r="P57" s="43" t="s">
        <v>660</v>
      </c>
      <c r="Q57" s="10"/>
      <c r="R57" s="10" t="s">
        <v>350</v>
      </c>
      <c r="S57" s="6" t="s">
        <v>48</v>
      </c>
      <c r="T57" s="5"/>
      <c r="U57" t="str">
        <f>VLOOKUP(F57,'Lampiran Site'!$B$3:$T$80,19,0)</f>
        <v>Go</v>
      </c>
    </row>
    <row r="58" spans="1:21" hidden="1">
      <c r="A58" s="5">
        <v>68</v>
      </c>
      <c r="B58" s="47" t="s">
        <v>518</v>
      </c>
      <c r="C58" s="7">
        <v>1472761003</v>
      </c>
      <c r="D58" s="48">
        <v>-6.87005</v>
      </c>
      <c r="E58" s="48">
        <v>109.12783</v>
      </c>
      <c r="F58" s="6" t="s">
        <v>99</v>
      </c>
      <c r="G58" s="6">
        <v>109.14256399999999</v>
      </c>
      <c r="H58" s="6">
        <v>-6.8687690000000003</v>
      </c>
      <c r="I58" s="6" t="s">
        <v>289</v>
      </c>
      <c r="J58" s="33" t="s">
        <v>13</v>
      </c>
      <c r="K58" s="46">
        <v>2194.7999999999997</v>
      </c>
      <c r="L58" s="6" t="s">
        <v>620</v>
      </c>
      <c r="M58" s="32" t="s">
        <v>621</v>
      </c>
      <c r="N58" s="6" t="s">
        <v>35</v>
      </c>
      <c r="O58" s="43" t="s">
        <v>660</v>
      </c>
      <c r="P58" s="43" t="s">
        <v>661</v>
      </c>
      <c r="Q58" s="10"/>
      <c r="R58" s="10" t="s">
        <v>3</v>
      </c>
      <c r="S58" s="6" t="s">
        <v>98</v>
      </c>
      <c r="T58" s="5"/>
      <c r="U58" t="str">
        <f>VLOOKUP(C58,'Lampiran Site'!$B$3:$T$80,19,0)</f>
        <v>Go</v>
      </c>
    </row>
    <row r="59" spans="1:21" hidden="1">
      <c r="A59" s="5">
        <v>69</v>
      </c>
      <c r="B59" s="6" t="s">
        <v>219</v>
      </c>
      <c r="C59" s="7" t="s">
        <v>335</v>
      </c>
      <c r="D59" s="6">
        <v>110.41473499999999</v>
      </c>
      <c r="E59" s="6">
        <v>-6.9730869999999996</v>
      </c>
      <c r="F59" s="6">
        <v>142463126</v>
      </c>
      <c r="G59" s="6">
        <v>-6.9833499999999997</v>
      </c>
      <c r="H59" s="6">
        <v>110.407</v>
      </c>
      <c r="I59" s="6" t="s">
        <v>290</v>
      </c>
      <c r="J59" s="33" t="s">
        <v>13</v>
      </c>
      <c r="K59" s="9">
        <v>1762</v>
      </c>
      <c r="L59" s="6" t="s">
        <v>622</v>
      </c>
      <c r="M59" s="32" t="s">
        <v>623</v>
      </c>
      <c r="N59" s="6" t="s">
        <v>35</v>
      </c>
      <c r="O59" s="43" t="s">
        <v>659</v>
      </c>
      <c r="P59" s="43" t="s">
        <v>660</v>
      </c>
      <c r="Q59" s="10"/>
      <c r="R59" s="10" t="s">
        <v>3</v>
      </c>
      <c r="S59" s="6" t="s">
        <v>355</v>
      </c>
      <c r="T59" s="5"/>
      <c r="U59" t="str">
        <f>VLOOKUP(F59,'Lampiran Site'!$B$3:$T$80,19,0)</f>
        <v>Go</v>
      </c>
    </row>
    <row r="60" spans="1:21" hidden="1">
      <c r="A60" s="5">
        <v>70</v>
      </c>
      <c r="B60" s="6" t="s">
        <v>220</v>
      </c>
      <c r="C60" s="7" t="s">
        <v>139</v>
      </c>
      <c r="D60" s="6">
        <v>109.12167700000001</v>
      </c>
      <c r="E60" s="6">
        <v>-7.6183350000000001</v>
      </c>
      <c r="F60" s="6">
        <v>1436911023</v>
      </c>
      <c r="G60" s="6">
        <v>-7.62127</v>
      </c>
      <c r="H60" s="6">
        <v>109.131</v>
      </c>
      <c r="I60" s="6" t="s">
        <v>291</v>
      </c>
      <c r="J60" s="33" t="s">
        <v>13</v>
      </c>
      <c r="K60" s="9">
        <v>1669</v>
      </c>
      <c r="L60" s="6" t="s">
        <v>624</v>
      </c>
      <c r="M60" s="32" t="s">
        <v>625</v>
      </c>
      <c r="N60" s="6" t="s">
        <v>35</v>
      </c>
      <c r="O60" s="43" t="s">
        <v>659</v>
      </c>
      <c r="P60" s="43" t="s">
        <v>660</v>
      </c>
      <c r="Q60" s="10"/>
      <c r="R60" s="10" t="s">
        <v>3</v>
      </c>
      <c r="S60" s="6" t="s">
        <v>89</v>
      </c>
      <c r="T60" s="5"/>
      <c r="U60" t="str">
        <f>VLOOKUP(F60,'Lampiran Site'!$B$3:$T$80,19,0)</f>
        <v>Go</v>
      </c>
    </row>
    <row r="61" spans="1:21" hidden="1">
      <c r="A61" s="5">
        <v>71</v>
      </c>
      <c r="B61" s="6" t="s">
        <v>221</v>
      </c>
      <c r="C61" s="7">
        <v>1440632003</v>
      </c>
      <c r="D61" s="6">
        <v>-6.9837999999999996</v>
      </c>
      <c r="E61" s="6">
        <v>110.357</v>
      </c>
      <c r="F61" s="6" t="s">
        <v>336</v>
      </c>
      <c r="G61" s="6">
        <v>110.36257000000001</v>
      </c>
      <c r="H61" s="6">
        <v>-6.9806030000000003</v>
      </c>
      <c r="I61" s="6" t="s">
        <v>292</v>
      </c>
      <c r="J61" s="33" t="s">
        <v>13</v>
      </c>
      <c r="K61" s="9">
        <v>1869</v>
      </c>
      <c r="L61" s="6" t="s">
        <v>626</v>
      </c>
      <c r="M61" s="32" t="s">
        <v>627</v>
      </c>
      <c r="N61" s="6" t="s">
        <v>35</v>
      </c>
      <c r="O61" s="43" t="s">
        <v>660</v>
      </c>
      <c r="P61" s="43" t="s">
        <v>661</v>
      </c>
      <c r="Q61" s="10"/>
      <c r="R61" s="10" t="s">
        <v>3</v>
      </c>
      <c r="S61" s="6" t="s">
        <v>355</v>
      </c>
      <c r="T61" s="5"/>
      <c r="U61" t="str">
        <f>VLOOKUP(C61,'Lampiran Site'!$B$3:$T$80,19,0)</f>
        <v>Go</v>
      </c>
    </row>
    <row r="62" spans="1:21" hidden="1">
      <c r="A62" s="5">
        <v>72</v>
      </c>
      <c r="B62" s="6" t="s">
        <v>222</v>
      </c>
      <c r="C62" s="7" t="s">
        <v>92</v>
      </c>
      <c r="D62" s="6">
        <v>110.79584</v>
      </c>
      <c r="E62" s="6">
        <v>-7.5618319999999999</v>
      </c>
      <c r="F62" s="6">
        <v>1440762003</v>
      </c>
      <c r="G62" s="6">
        <v>-7.5641400000000001</v>
      </c>
      <c r="H62" s="6">
        <v>110.8</v>
      </c>
      <c r="I62" s="6" t="s">
        <v>293</v>
      </c>
      <c r="J62" s="33" t="s">
        <v>13</v>
      </c>
      <c r="K62" s="9">
        <v>600</v>
      </c>
      <c r="L62" s="6" t="s">
        <v>628</v>
      </c>
      <c r="M62" s="32" t="s">
        <v>629</v>
      </c>
      <c r="N62" s="6" t="s">
        <v>35</v>
      </c>
      <c r="O62" s="43" t="s">
        <v>659</v>
      </c>
      <c r="P62" s="43" t="s">
        <v>660</v>
      </c>
      <c r="Q62" s="10"/>
      <c r="R62" s="10" t="s">
        <v>3</v>
      </c>
      <c r="S62" s="6" t="s">
        <v>91</v>
      </c>
      <c r="T62" s="5"/>
      <c r="U62" t="str">
        <f>VLOOKUP(F62,'Lampiran Site'!$B$3:$T$80,19,0)</f>
        <v>Go</v>
      </c>
    </row>
    <row r="63" spans="1:21" hidden="1">
      <c r="A63" s="5">
        <v>73</v>
      </c>
      <c r="B63" s="6" t="s">
        <v>223</v>
      </c>
      <c r="C63" s="7" t="s">
        <v>335</v>
      </c>
      <c r="D63" s="6">
        <v>110.41473499999999</v>
      </c>
      <c r="E63" s="6">
        <v>-6.9730869999999996</v>
      </c>
      <c r="F63" s="6">
        <v>142566126</v>
      </c>
      <c r="G63" s="6">
        <v>-6.9785199999999996</v>
      </c>
      <c r="H63" s="6">
        <v>110.41200000000001</v>
      </c>
      <c r="I63" s="6" t="s">
        <v>294</v>
      </c>
      <c r="J63" s="33" t="s">
        <v>13</v>
      </c>
      <c r="K63" s="9">
        <v>690</v>
      </c>
      <c r="L63" s="6" t="s">
        <v>630</v>
      </c>
      <c r="M63" s="32" t="s">
        <v>631</v>
      </c>
      <c r="N63" s="6" t="s">
        <v>35</v>
      </c>
      <c r="O63" s="43" t="s">
        <v>659</v>
      </c>
      <c r="P63" s="43" t="s">
        <v>660</v>
      </c>
      <c r="Q63" s="10"/>
      <c r="R63" s="10" t="s">
        <v>3</v>
      </c>
      <c r="S63" s="6" t="s">
        <v>355</v>
      </c>
      <c r="T63" s="5"/>
      <c r="U63" t="str">
        <f>VLOOKUP(F63,'Lampiran Site'!$B$3:$T$80,19,0)</f>
        <v>Go</v>
      </c>
    </row>
    <row r="64" spans="1:21" hidden="1">
      <c r="A64" s="5">
        <v>75</v>
      </c>
      <c r="B64" s="6" t="s">
        <v>224</v>
      </c>
      <c r="C64" s="7" t="s">
        <v>338</v>
      </c>
      <c r="D64" s="6">
        <v>-6.9649799999999997</v>
      </c>
      <c r="E64" s="6">
        <v>110.42400000000001</v>
      </c>
      <c r="F64" s="6" t="s">
        <v>337</v>
      </c>
      <c r="G64" s="6">
        <v>110.427916</v>
      </c>
      <c r="H64" s="6">
        <v>-6.9644890000000004</v>
      </c>
      <c r="I64" s="6" t="s">
        <v>295</v>
      </c>
      <c r="J64" s="33" t="s">
        <v>13</v>
      </c>
      <c r="K64" s="9">
        <v>317</v>
      </c>
      <c r="L64" s="6" t="s">
        <v>630</v>
      </c>
      <c r="M64" s="32" t="s">
        <v>632</v>
      </c>
      <c r="N64" s="6" t="s">
        <v>35</v>
      </c>
      <c r="O64" s="43" t="s">
        <v>660</v>
      </c>
      <c r="P64" s="43" t="s">
        <v>661</v>
      </c>
      <c r="Q64" s="10"/>
      <c r="R64" s="10" t="s">
        <v>3</v>
      </c>
      <c r="S64" s="6" t="s">
        <v>355</v>
      </c>
      <c r="T64" s="5"/>
      <c r="U64" t="str">
        <f>VLOOKUP(C64,'Lampiran Site'!$B$3:$T$80,19,0)</f>
        <v>Go</v>
      </c>
    </row>
    <row r="65" spans="1:21" hidden="1">
      <c r="A65" s="5">
        <v>76</v>
      </c>
      <c r="B65" s="6" t="s">
        <v>225</v>
      </c>
      <c r="C65" s="7" t="s">
        <v>337</v>
      </c>
      <c r="D65" s="6">
        <v>110.427916</v>
      </c>
      <c r="E65" s="6">
        <v>-6.9644890000000004</v>
      </c>
      <c r="F65" s="6">
        <v>1446221023</v>
      </c>
      <c r="G65" s="6">
        <v>-6.9590800000000002</v>
      </c>
      <c r="H65" s="6">
        <v>110.419</v>
      </c>
      <c r="I65" s="6" t="s">
        <v>296</v>
      </c>
      <c r="J65" s="33" t="s">
        <v>13</v>
      </c>
      <c r="K65" s="9">
        <v>1418</v>
      </c>
      <c r="L65" s="6" t="s">
        <v>633</v>
      </c>
      <c r="M65" s="32" t="s">
        <v>634</v>
      </c>
      <c r="N65" s="6" t="s">
        <v>35</v>
      </c>
      <c r="O65" s="43" t="s">
        <v>659</v>
      </c>
      <c r="P65" s="43" t="s">
        <v>660</v>
      </c>
      <c r="Q65" s="10"/>
      <c r="R65" s="10" t="s">
        <v>3</v>
      </c>
      <c r="S65" s="6" t="s">
        <v>355</v>
      </c>
      <c r="T65" s="5"/>
      <c r="U65" t="str">
        <f>VLOOKUP(F65,'Lampiran Site'!$B$3:$T$80,19,0)</f>
        <v>Go</v>
      </c>
    </row>
    <row r="66" spans="1:21" hidden="1">
      <c r="A66" s="5">
        <v>77</v>
      </c>
      <c r="B66" s="6" t="s">
        <v>226</v>
      </c>
      <c r="C66" s="7" t="s">
        <v>97</v>
      </c>
      <c r="D66" s="6">
        <v>110.836327</v>
      </c>
      <c r="E66" s="6">
        <v>-7.575704</v>
      </c>
      <c r="F66" s="6">
        <v>1442382001</v>
      </c>
      <c r="G66" s="6">
        <v>-7.5688399999999998</v>
      </c>
      <c r="H66" s="6">
        <v>110.848</v>
      </c>
      <c r="I66" s="6" t="s">
        <v>297</v>
      </c>
      <c r="J66" s="33" t="s">
        <v>13</v>
      </c>
      <c r="K66" s="9">
        <v>2303</v>
      </c>
      <c r="L66" s="6" t="s">
        <v>635</v>
      </c>
      <c r="M66" s="32" t="s">
        <v>636</v>
      </c>
      <c r="N66" s="6" t="s">
        <v>35</v>
      </c>
      <c r="O66" s="43" t="s">
        <v>659</v>
      </c>
      <c r="P66" s="43" t="s">
        <v>660</v>
      </c>
      <c r="Q66" s="10"/>
      <c r="R66" s="10" t="s">
        <v>3</v>
      </c>
      <c r="S66" s="6" t="s">
        <v>91</v>
      </c>
      <c r="T66" s="5"/>
      <c r="U66" t="str">
        <f>VLOOKUP(F66,'Lampiran Site'!$B$3:$T$80,19,0)</f>
        <v>Go</v>
      </c>
    </row>
    <row r="67" spans="1:21" hidden="1">
      <c r="A67" s="5">
        <v>79</v>
      </c>
      <c r="B67" s="6" t="s">
        <v>227</v>
      </c>
      <c r="C67" s="7">
        <v>111172121</v>
      </c>
      <c r="D67" s="6">
        <v>-6.1403699999999999</v>
      </c>
      <c r="E67" s="6">
        <v>106.82299999999999</v>
      </c>
      <c r="F67" s="6" t="s">
        <v>339</v>
      </c>
      <c r="G67" s="6">
        <v>106.823014</v>
      </c>
      <c r="H67" s="6">
        <v>-6.1414150000000003</v>
      </c>
      <c r="I67" s="6" t="s">
        <v>298</v>
      </c>
      <c r="J67" s="33" t="s">
        <v>13</v>
      </c>
      <c r="K67" s="9">
        <v>396</v>
      </c>
      <c r="L67" s="6" t="s">
        <v>637</v>
      </c>
      <c r="M67" s="32" t="s">
        <v>638</v>
      </c>
      <c r="N67" s="6" t="s">
        <v>35</v>
      </c>
      <c r="O67" s="43" t="s">
        <v>660</v>
      </c>
      <c r="P67" s="43" t="s">
        <v>661</v>
      </c>
      <c r="Q67" s="10"/>
      <c r="R67" s="10" t="s">
        <v>351</v>
      </c>
      <c r="S67" s="6" t="s">
        <v>357</v>
      </c>
      <c r="T67" s="5"/>
      <c r="U67" t="str">
        <f>VLOOKUP(C67,'Lampiran Site'!$B$3:$T$80,19,0)</f>
        <v>Go</v>
      </c>
    </row>
    <row r="68" spans="1:21" hidden="1">
      <c r="A68" s="5">
        <v>81</v>
      </c>
      <c r="B68" s="6" t="s">
        <v>228</v>
      </c>
      <c r="C68" s="7">
        <v>1133122004</v>
      </c>
      <c r="D68" s="6">
        <v>-6.1463299999999998</v>
      </c>
      <c r="E68" s="6">
        <v>106.82299999999999</v>
      </c>
      <c r="F68" s="6" t="s">
        <v>339</v>
      </c>
      <c r="G68" s="6">
        <v>106.823014</v>
      </c>
      <c r="H68" s="6">
        <v>-6.1414150000000003</v>
      </c>
      <c r="I68" s="6" t="s">
        <v>299</v>
      </c>
      <c r="J68" s="33" t="s">
        <v>13</v>
      </c>
      <c r="K68" s="9">
        <v>1507</v>
      </c>
      <c r="L68" s="6" t="s">
        <v>637</v>
      </c>
      <c r="M68" s="32" t="s">
        <v>639</v>
      </c>
      <c r="N68" s="6" t="s">
        <v>35</v>
      </c>
      <c r="O68" s="43" t="s">
        <v>660</v>
      </c>
      <c r="P68" s="43" t="s">
        <v>661</v>
      </c>
      <c r="Q68" s="10"/>
      <c r="R68" s="10" t="s">
        <v>351</v>
      </c>
      <c r="S68" s="6" t="s">
        <v>356</v>
      </c>
      <c r="T68" s="5"/>
      <c r="U68" t="str">
        <f>VLOOKUP(C68,'Lampiran Site'!$B$3:$T$80,19,0)</f>
        <v>Go</v>
      </c>
    </row>
    <row r="69" spans="1:21" hidden="1">
      <c r="A69" s="5">
        <v>84</v>
      </c>
      <c r="B69" s="6" t="s">
        <v>229</v>
      </c>
      <c r="C69" s="7">
        <v>1133112004</v>
      </c>
      <c r="D69" s="6">
        <v>-6.15238</v>
      </c>
      <c r="E69" s="6">
        <v>106.824</v>
      </c>
      <c r="F69" s="6" t="s">
        <v>340</v>
      </c>
      <c r="G69" s="6">
        <v>106.82706</v>
      </c>
      <c r="H69" s="6">
        <v>-6.149851</v>
      </c>
      <c r="I69" s="6" t="s">
        <v>300</v>
      </c>
      <c r="J69" s="33" t="s">
        <v>13</v>
      </c>
      <c r="K69" s="9">
        <v>903</v>
      </c>
      <c r="L69" s="6" t="s">
        <v>640</v>
      </c>
      <c r="M69" s="32" t="s">
        <v>641</v>
      </c>
      <c r="N69" s="6" t="s">
        <v>35</v>
      </c>
      <c r="O69" s="43" t="s">
        <v>660</v>
      </c>
      <c r="P69" s="43" t="s">
        <v>661</v>
      </c>
      <c r="Q69" s="10"/>
      <c r="R69" s="10" t="s">
        <v>351</v>
      </c>
      <c r="S69" s="6" t="s">
        <v>356</v>
      </c>
      <c r="T69" s="5"/>
      <c r="U69" t="str">
        <f>VLOOKUP(C69,'Lampiran Site'!$B$3:$T$80,19,0)</f>
        <v>Go</v>
      </c>
    </row>
    <row r="70" spans="1:21" hidden="1">
      <c r="A70" s="5">
        <v>85</v>
      </c>
      <c r="B70" s="6" t="s">
        <v>230</v>
      </c>
      <c r="C70" s="7">
        <v>111545109</v>
      </c>
      <c r="D70" s="6">
        <v>-6.2030700000000003</v>
      </c>
      <c r="E70" s="6">
        <v>106.798</v>
      </c>
      <c r="F70" s="6" t="s">
        <v>341</v>
      </c>
      <c r="G70" s="6">
        <v>106.797606</v>
      </c>
      <c r="H70" s="6">
        <v>-6.2070379999999998</v>
      </c>
      <c r="I70" s="6" t="s">
        <v>301</v>
      </c>
      <c r="J70" s="33" t="s">
        <v>13</v>
      </c>
      <c r="K70" s="9">
        <v>963</v>
      </c>
      <c r="L70" s="6" t="s">
        <v>642</v>
      </c>
      <c r="M70" s="32" t="s">
        <v>643</v>
      </c>
      <c r="N70" s="6" t="s">
        <v>35</v>
      </c>
      <c r="O70" s="43" t="s">
        <v>660</v>
      </c>
      <c r="P70" s="43" t="s">
        <v>661</v>
      </c>
      <c r="Q70" s="10"/>
      <c r="R70" s="10" t="s">
        <v>351</v>
      </c>
      <c r="S70" s="6" t="s">
        <v>357</v>
      </c>
      <c r="T70" s="5"/>
      <c r="U70" t="str">
        <f>VLOOKUP(C70,'Lampiran Site'!$B$3:$T$80,19,0)</f>
        <v>Go</v>
      </c>
    </row>
    <row r="71" spans="1:21" hidden="1">
      <c r="A71" s="5">
        <v>91</v>
      </c>
      <c r="B71" s="6" t="s">
        <v>231</v>
      </c>
      <c r="C71" s="7" t="s">
        <v>343</v>
      </c>
      <c r="D71" s="6">
        <v>106.703755</v>
      </c>
      <c r="E71" s="6">
        <v>-6.1660139999999997</v>
      </c>
      <c r="F71" s="6">
        <v>110157102</v>
      </c>
      <c r="G71" s="6">
        <v>-6.1618399999999998</v>
      </c>
      <c r="H71" s="6">
        <v>106.70399999999999</v>
      </c>
      <c r="I71" s="6" t="s">
        <v>302</v>
      </c>
      <c r="J71" s="33" t="s">
        <v>13</v>
      </c>
      <c r="K71" s="9">
        <v>726</v>
      </c>
      <c r="L71" s="6" t="s">
        <v>644</v>
      </c>
      <c r="M71" s="32" t="s">
        <v>645</v>
      </c>
      <c r="N71" s="6" t="s">
        <v>35</v>
      </c>
      <c r="O71" s="43" t="s">
        <v>659</v>
      </c>
      <c r="P71" s="43" t="s">
        <v>660</v>
      </c>
      <c r="Q71" s="10"/>
      <c r="R71" s="10" t="s">
        <v>351</v>
      </c>
      <c r="S71" s="6" t="s">
        <v>356</v>
      </c>
      <c r="T71" s="5"/>
      <c r="U71" t="str">
        <f>VLOOKUP(F71,'Lampiran Site'!$B$3:$T$80,19,0)</f>
        <v>Go</v>
      </c>
    </row>
    <row r="72" spans="1:21" hidden="1">
      <c r="A72" s="5">
        <v>99</v>
      </c>
      <c r="B72" s="6" t="s">
        <v>232</v>
      </c>
      <c r="C72" s="7">
        <v>111211121</v>
      </c>
      <c r="D72" s="6">
        <v>-6.2408000000000001</v>
      </c>
      <c r="E72" s="6">
        <v>106.78100000000001</v>
      </c>
      <c r="F72" s="6" t="s">
        <v>344</v>
      </c>
      <c r="G72" s="7">
        <v>106.780714</v>
      </c>
      <c r="H72" s="7">
        <v>-6.2409809999999997</v>
      </c>
      <c r="I72" s="6" t="s">
        <v>303</v>
      </c>
      <c r="J72" s="33" t="s">
        <v>13</v>
      </c>
      <c r="K72" s="9">
        <v>81</v>
      </c>
      <c r="L72" s="6" t="s">
        <v>646</v>
      </c>
      <c r="M72" s="32" t="s">
        <v>647</v>
      </c>
      <c r="N72" s="6" t="s">
        <v>35</v>
      </c>
      <c r="O72" s="43" t="s">
        <v>660</v>
      </c>
      <c r="P72" s="43" t="s">
        <v>661</v>
      </c>
      <c r="Q72" s="10"/>
      <c r="R72" s="10" t="s">
        <v>351</v>
      </c>
      <c r="S72" s="6" t="s">
        <v>359</v>
      </c>
      <c r="T72" s="5"/>
      <c r="U72" t="str">
        <f>VLOOKUP(C72,'Lampiran Site'!$B$3:$T$80,19,0)</f>
        <v>Go</v>
      </c>
    </row>
    <row r="73" spans="1:21" hidden="1">
      <c r="A73" s="5">
        <v>102</v>
      </c>
      <c r="B73" s="6" t="s">
        <v>233</v>
      </c>
      <c r="C73" s="7" t="s">
        <v>342</v>
      </c>
      <c r="D73" s="6">
        <v>106.899429</v>
      </c>
      <c r="E73" s="6">
        <v>-6.213381</v>
      </c>
      <c r="F73" s="6">
        <v>111001109</v>
      </c>
      <c r="G73" s="6">
        <v>-6.2116400000000001</v>
      </c>
      <c r="H73" s="6">
        <v>106.902</v>
      </c>
      <c r="I73" s="6" t="s">
        <v>304</v>
      </c>
      <c r="J73" s="33" t="s">
        <v>13</v>
      </c>
      <c r="K73" s="9">
        <v>826</v>
      </c>
      <c r="L73" s="6" t="s">
        <v>648</v>
      </c>
      <c r="M73" s="32" t="s">
        <v>649</v>
      </c>
      <c r="N73" s="6" t="s">
        <v>35</v>
      </c>
      <c r="O73" s="43" t="s">
        <v>659</v>
      </c>
      <c r="P73" s="43" t="s">
        <v>660</v>
      </c>
      <c r="Q73" s="10"/>
      <c r="R73" s="10" t="s">
        <v>351</v>
      </c>
      <c r="S73" s="6" t="s">
        <v>358</v>
      </c>
      <c r="T73" s="5"/>
      <c r="U73" t="str">
        <f>VLOOKUP(F73,'Lampiran Site'!$B$3:$T$80,19,0)</f>
        <v>Go</v>
      </c>
    </row>
    <row r="74" spans="1:21" hidden="1">
      <c r="A74" s="5">
        <v>103</v>
      </c>
      <c r="B74" s="6" t="s">
        <v>234</v>
      </c>
      <c r="C74" s="7" t="s">
        <v>345</v>
      </c>
      <c r="D74" s="6">
        <v>106.855092</v>
      </c>
      <c r="E74" s="6">
        <v>-6.2553260000000002</v>
      </c>
      <c r="F74" s="6">
        <v>111150121</v>
      </c>
      <c r="G74" s="6">
        <v>-6.2512699999999999</v>
      </c>
      <c r="H74" s="6">
        <v>106.857</v>
      </c>
      <c r="I74" s="6" t="s">
        <v>305</v>
      </c>
      <c r="J74" s="33" t="s">
        <v>13</v>
      </c>
      <c r="K74" s="9">
        <v>37</v>
      </c>
      <c r="L74" s="6" t="s">
        <v>646</v>
      </c>
      <c r="M74" s="32" t="s">
        <v>650</v>
      </c>
      <c r="N74" s="6" t="s">
        <v>35</v>
      </c>
      <c r="O74" s="43" t="s">
        <v>659</v>
      </c>
      <c r="P74" s="43" t="s">
        <v>660</v>
      </c>
      <c r="Q74" s="10"/>
      <c r="R74" s="10" t="s">
        <v>351</v>
      </c>
      <c r="S74" s="6" t="s">
        <v>359</v>
      </c>
      <c r="T74" s="5"/>
      <c r="U74" t="str">
        <f>VLOOKUP(F74,'Lampiran Site'!$B$3:$T$80,19,0)</f>
        <v>Go</v>
      </c>
    </row>
    <row r="75" spans="1:21" hidden="1">
      <c r="A75" s="5">
        <v>104</v>
      </c>
      <c r="B75" s="37" t="s">
        <v>514</v>
      </c>
      <c r="C75" s="39" t="s">
        <v>504</v>
      </c>
      <c r="D75" s="40">
        <v>112.680836</v>
      </c>
      <c r="E75" s="40">
        <v>-7.2573939999999997</v>
      </c>
      <c r="F75" s="40">
        <v>160435109</v>
      </c>
      <c r="G75" s="40">
        <v>112.67807999999999</v>
      </c>
      <c r="H75" s="40">
        <v>-7.2575700000000003</v>
      </c>
      <c r="I75" s="40" t="s">
        <v>495</v>
      </c>
      <c r="J75" s="41" t="s">
        <v>13</v>
      </c>
      <c r="K75" s="42">
        <v>350</v>
      </c>
      <c r="L75" s="40" t="s">
        <v>651</v>
      </c>
      <c r="M75" s="32" t="s">
        <v>652</v>
      </c>
      <c r="N75" s="6" t="s">
        <v>35</v>
      </c>
      <c r="O75" s="43" t="s">
        <v>659</v>
      </c>
      <c r="P75" s="43" t="s">
        <v>660</v>
      </c>
      <c r="Q75" s="30"/>
      <c r="R75" s="41" t="s">
        <v>349</v>
      </c>
      <c r="S75" s="37" t="s">
        <v>131</v>
      </c>
      <c r="T75" s="31"/>
      <c r="U75" t="str">
        <f>VLOOKUP(F75,'Lampiran Site'!$B$3:$T$80,19,0)</f>
        <v>Go</v>
      </c>
    </row>
    <row r="76" spans="1:21" hidden="1">
      <c r="A76" s="5">
        <v>105</v>
      </c>
      <c r="B76" s="37" t="s">
        <v>515</v>
      </c>
      <c r="C76" s="39" t="s">
        <v>506</v>
      </c>
      <c r="D76" s="40">
        <v>112.91674999999999</v>
      </c>
      <c r="E76" s="40">
        <v>-7.6333500000000001</v>
      </c>
      <c r="F76" s="40">
        <v>163372126</v>
      </c>
      <c r="G76" s="40">
        <v>112.91674999999999</v>
      </c>
      <c r="H76" s="40">
        <v>-7.6333500000000001</v>
      </c>
      <c r="I76" s="40" t="s">
        <v>496</v>
      </c>
      <c r="J76" s="41" t="s">
        <v>13</v>
      </c>
      <c r="K76" s="42">
        <v>1416</v>
      </c>
      <c r="L76" s="40" t="s">
        <v>653</v>
      </c>
      <c r="M76" s="32" t="s">
        <v>654</v>
      </c>
      <c r="N76" s="6" t="s">
        <v>35</v>
      </c>
      <c r="O76" s="43" t="s">
        <v>659</v>
      </c>
      <c r="P76" s="43" t="s">
        <v>660</v>
      </c>
      <c r="Q76" s="30"/>
      <c r="R76" s="41" t="s">
        <v>349</v>
      </c>
      <c r="S76" s="37" t="s">
        <v>500</v>
      </c>
      <c r="T76" s="31"/>
      <c r="U76" t="str">
        <f>VLOOKUP(F76,'Lampiran Site'!$B$3:$T$80,19,0)</f>
        <v>Go</v>
      </c>
    </row>
    <row r="77" spans="1:21" hidden="1">
      <c r="A77" s="5">
        <v>106</v>
      </c>
      <c r="B77" s="37" t="s">
        <v>516</v>
      </c>
      <c r="C77" s="39" t="s">
        <v>326</v>
      </c>
      <c r="D77" s="40">
        <v>112.43206000000001</v>
      </c>
      <c r="E77" s="40">
        <v>-7.4723280000000001</v>
      </c>
      <c r="F77" s="40">
        <v>1647992007</v>
      </c>
      <c r="G77" s="40">
        <v>112.43228999999999</v>
      </c>
      <c r="H77" s="40">
        <v>-7.4698200000000003</v>
      </c>
      <c r="I77" s="40" t="s">
        <v>497</v>
      </c>
      <c r="J77" s="41" t="s">
        <v>13</v>
      </c>
      <c r="K77" s="9">
        <v>304</v>
      </c>
      <c r="L77" s="40" t="s">
        <v>655</v>
      </c>
      <c r="M77" s="32" t="s">
        <v>656</v>
      </c>
      <c r="N77" s="6" t="s">
        <v>35</v>
      </c>
      <c r="O77" s="43" t="s">
        <v>659</v>
      </c>
      <c r="P77" s="43" t="s">
        <v>660</v>
      </c>
      <c r="Q77" s="30"/>
      <c r="R77" s="41" t="s">
        <v>349</v>
      </c>
      <c r="S77" s="37" t="s">
        <v>360</v>
      </c>
      <c r="T77" s="31"/>
      <c r="U77" t="str">
        <f>VLOOKUP(F77,'Lampiran Site'!$B$3:$T$80,19,0)</f>
        <v>Go</v>
      </c>
    </row>
    <row r="78" spans="1:21" hidden="1">
      <c r="A78" s="5">
        <v>107</v>
      </c>
      <c r="B78" s="37" t="s">
        <v>517</v>
      </c>
      <c r="C78" s="39" t="s">
        <v>505</v>
      </c>
      <c r="D78" s="40">
        <v>112.16580999999999</v>
      </c>
      <c r="E78" s="40">
        <v>-7.1081919999999998</v>
      </c>
      <c r="F78" s="40">
        <v>1647682003</v>
      </c>
      <c r="G78" s="40">
        <v>112.17064999999999</v>
      </c>
      <c r="H78" s="40">
        <v>-7.1103699999999996</v>
      </c>
      <c r="I78" s="40" t="s">
        <v>498</v>
      </c>
      <c r="J78" s="41" t="s">
        <v>13</v>
      </c>
      <c r="K78" s="9">
        <v>913</v>
      </c>
      <c r="L78" s="40" t="s">
        <v>657</v>
      </c>
      <c r="M78" s="32" t="s">
        <v>658</v>
      </c>
      <c r="N78" s="6" t="s">
        <v>35</v>
      </c>
      <c r="O78" s="43" t="s">
        <v>659</v>
      </c>
      <c r="P78" s="43" t="s">
        <v>660</v>
      </c>
      <c r="Q78" s="30"/>
      <c r="R78" s="41" t="s">
        <v>349</v>
      </c>
      <c r="S78" s="37" t="s">
        <v>502</v>
      </c>
      <c r="T78" s="31"/>
      <c r="U78" t="str">
        <f>VLOOKUP(F78,'Lampiran Site'!$B$3:$T$80,19,0)</f>
        <v>Go</v>
      </c>
    </row>
  </sheetData>
  <autoFilter ref="A1:U78" xr:uid="{52732E10-5E1A-4D43-B99C-32511DFCC009}">
    <filterColumn colId="20">
      <filters>
        <filter val="#N/A"/>
        <filter val="0"/>
        <filter val="Drop"/>
        <filter val="Hold"/>
      </filters>
    </filterColumn>
  </autoFilter>
  <conditionalFormatting sqref="A1">
    <cfRule type="duplicateValues" dxfId="2" priority="3"/>
  </conditionalFormatting>
  <conditionalFormatting sqref="B1:B74">
    <cfRule type="duplicateValues" dxfId="1" priority="60"/>
  </conditionalFormatting>
  <conditionalFormatting sqref="B2:B74">
    <cfRule type="duplicateValues" dxfId="0" priority="62"/>
  </conditionalFormatting>
  <pageMargins left="0.7" right="0.7" top="0.75" bottom="0.75" header="0.3" footer="0.3"/>
  <pageSetup scale="3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Ring</vt:lpstr>
      <vt:lpstr>Lampiran Site</vt:lpstr>
      <vt:lpstr>Lampiran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202302020012</dc:creator>
  <cp:lastModifiedBy>Yakub Hariana</cp:lastModifiedBy>
  <dcterms:created xsi:type="dcterms:W3CDTF">2025-12-18T07:53:10Z</dcterms:created>
  <dcterms:modified xsi:type="dcterms:W3CDTF">2026-02-03T16:35:44Z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F04C3283E4C949BD81A5ADFB925C6D77_11</vt:lpwstr>
  </property>
  <property fmtid="{D5CDD505-2E9C-101B-9397-08002B2CF9AE}" pid="3" name="KSOProductBuildVer">
    <vt:lpwstr>1033-12.2.0.23155</vt:lpwstr>
  </property>
</Properties>
</file>